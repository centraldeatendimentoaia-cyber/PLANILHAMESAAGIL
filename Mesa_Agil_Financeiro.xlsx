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ece Aqui" sheetId="1" state="visible" r:id="rId3"/>
    <sheet name="Dashboard" sheetId="2" state="visible" r:id="rId4"/>
    <sheet name="Premissas" sheetId="3" state="visible" r:id="rId5"/>
    <sheet name="Projeção 24 meses" sheetId="4" state="visible" r:id="rId6"/>
    <sheet name="Fluxo de Caixa" sheetId="5" state="visible" r:id="rId7"/>
    <sheet name="Unit Economics" sheetId="6" state="visible" r:id="rId8"/>
    <sheet name="Cenários" sheetId="7" state="visible" r:id="rId9"/>
    <sheet name="Motor Cenário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<sst xmlns="http://schemas.openxmlformats.org/spreadsheetml/2006/main" count="457" uniqueCount="275">
  <si>
    <t xml:space="preserve">MESA ÁGIL  ·  PLANEJAMENTO FINANCEIRO  ·  GUIA RÁPIDO</t>
  </si>
  <si>
    <t xml:space="preserve">▦ DASHBOARD →</t>
  </si>
  <si>
    <t xml:space="preserve">01</t>
  </si>
  <si>
    <t xml:space="preserve">PREMISSAS — preços dos planos (já vêm do escopo), cenários de venda, custos variáveis, marketing e custos fixos. Os campos AMARELO-CLAROS você edita.</t>
  </si>
  <si>
    <t xml:space="preserve">ABRIR  →</t>
  </si>
  <si>
    <t xml:space="preserve">02</t>
  </si>
  <si>
    <t xml:space="preserve">PREMISSAS › Cenário em uso — escolha Pessimista, Realista ou Otimista. Projeção, Fluxo de Caixa, Unit Economics e Dashboard passam a usar esse cenário.</t>
  </si>
  <si>
    <t xml:space="preserve">03</t>
  </si>
  <si>
    <t xml:space="preserve">PROJEÇÃO 24 MESES — clientes (novos, cancelados, ativos por plano), MRR, ARR, ticket médio, custos, margem bruta e lucro líquido mês a mês.</t>
  </si>
  <si>
    <t xml:space="preserve">04</t>
  </si>
  <si>
    <t xml:space="preserve">FLUXO DE CAIXA — separa o dinheiro das mensalidades do dinheiro do plano anual (que entra de uma vez) e mostra a receita anual ainda a reconhecer.</t>
  </si>
  <si>
    <t xml:space="preserve">05</t>
  </si>
  <si>
    <t xml:space="preserve">UNIT ECONOMICS — LTV, CAC, LTV/CAC e payback por plano e na média, mais o ponto de equilíbrio em número de clientes.</t>
  </si>
  <si>
    <t xml:space="preserve">06</t>
  </si>
  <si>
    <t xml:space="preserve">CENÁRIOS — os três cenários lado a lado, sempre calculados ao mesmo tempo, com gráficos comparativos.</t>
  </si>
  <si>
    <t xml:space="preserve">07</t>
  </si>
  <si>
    <t xml:space="preserve">DASHBOARD — resumo do cenário em uso: indicadores-chave e gráficos. Tudo automático.</t>
  </si>
  <si>
    <t xml:space="preserve">08</t>
  </si>
  <si>
    <t xml:space="preserve">MOTOR CENÁRIOS — cálculo automático que alimenta a aba Cenários. Não precisa mexer.</t>
  </si>
  <si>
    <t xml:space="preserve">IMPORTANTE</t>
  </si>
  <si>
    <t xml:space="preserve">Só os PREÇOS dos planos vieram do escopo. Todos os outros campos amarelo-claros (clientes, churn, mix, custos, marketing) são EXEMPLOS estimados para a planilha já sair funcionando — troque pelos seus dados reais.</t>
  </si>
  <si>
    <t xml:space="preserve">CORES</t>
  </si>
  <si>
    <t xml:space="preserve">Campos AMARELO-CLAROS com borda mostarda = você preenche (clique neles para ver uma dica).  Células brancas = cálculo automático, não digite por cima.  Vermelho = resultado negativo.  Verde = resultado positivo.</t>
  </si>
  <si>
    <t xml:space="preserve">COMO LER</t>
  </si>
  <si>
    <t xml:space="preserve">Receita (MRR, lucro) é por COMPETÊNCIA: o plano anual é distribuído em 12 meses.  Caixa é quando o dinheiro ENTRA: o plano anual entra inteiro no mês da venda/renovação.  Clientes aparecem com casas decimais porque são médias estatísticas.</t>
  </si>
  <si>
    <t xml:space="preserve">Mesa Ágil (Powered by AIA) · comanda digital SaaS para barracas, food trucks, lanchonetes e restaurantes pequenos · mesaagil.pages.dev</t>
  </si>
  <si>
    <t xml:space="preserve">⌂  Início</t>
  </si>
  <si>
    <t xml:space="preserve">Tudo automático, sempre no cenário em uso. Para trocar o cenário ou os números, vá em Premissas.</t>
  </si>
  <si>
    <t xml:space="preserve">Premissas  →</t>
  </si>
  <si>
    <t xml:space="preserve">PRINCIPAIS NÚMEROS  ·  MÊS 24</t>
  </si>
  <si>
    <t xml:space="preserve">CLIENTES ATIVOS</t>
  </si>
  <si>
    <t xml:space="preserve">MRR</t>
  </si>
  <si>
    <t xml:space="preserve">ARR</t>
  </si>
  <si>
    <t xml:space="preserve">LUCRO LÍQUIDO</t>
  </si>
  <si>
    <t xml:space="preserve">LTV / CAC</t>
  </si>
  <si>
    <t xml:space="preserve">PAYBACK DO CAC</t>
  </si>
  <si>
    <t xml:space="preserve">no mês 24</t>
  </si>
  <si>
    <t xml:space="preserve">MRR × 12</t>
  </si>
  <si>
    <t xml:space="preserve">ideal ≥ 3x</t>
  </si>
  <si>
    <t xml:space="preserve">ideal ≤ 12 meses</t>
  </si>
  <si>
    <t xml:space="preserve">TICKET MÉDIO</t>
  </si>
  <si>
    <t xml:space="preserve">MARGEM BRUTA</t>
  </si>
  <si>
    <t xml:space="preserve">EQUILÍBRIO</t>
  </si>
  <si>
    <t xml:space="preserve">1º MÊS COM LUCRO</t>
  </si>
  <si>
    <t xml:space="preserve">LUCRO ACUMULADO</t>
  </si>
  <si>
    <t xml:space="preserve">MENOR SALDO DE CAIXA</t>
  </si>
  <si>
    <t xml:space="preserve">ARPU</t>
  </si>
  <si>
    <t xml:space="preserve">após impostos, gateway, infra</t>
  </si>
  <si>
    <t xml:space="preserve">cobrem os custos fixos</t>
  </si>
  <si>
    <t xml:space="preserve">lucro líquido &gt; 0</t>
  </si>
  <si>
    <t xml:space="preserve">soma dos 24 meses</t>
  </si>
  <si>
    <t xml:space="preserve">capital necessário</t>
  </si>
  <si>
    <t xml:space="preserve">RUMO AO EQUILÍBRIO</t>
  </si>
  <si>
    <t xml:space="preserve">Clientes ativos no mês 24  ×  clientes que cobrem os custos fixos</t>
  </si>
  <si>
    <t xml:space="preserve">EVOLUÇÃO EM 24 MESES</t>
  </si>
  <si>
    <t xml:space="preserve">ALERTAS</t>
  </si>
  <si>
    <t xml:space="preserve">▦  Dashboard</t>
  </si>
  <si>
    <t xml:space="preserve">PREMISSAS  ·  TODOS OS CAMPOS EDITÁVEIS</t>
  </si>
  <si>
    <t xml:space="preserve">Campos AMARELO-CLAROS = você preenche. Preços dos planos vieram do escopo; o restante são exemplos para substituir pelos seus números.</t>
  </si>
  <si>
    <t xml:space="preserve">GERAL</t>
  </si>
  <si>
    <t xml:space="preserve">Nome do produto</t>
  </si>
  <si>
    <t xml:space="preserve">Mesa Ágil</t>
  </si>
  <si>
    <t xml:space="preserve">Mês de início da projeção</t>
  </si>
  <si>
    <t xml:space="preserve">Primeiro mês de vendas (mês 1 da projeção)</t>
  </si>
  <si>
    <t xml:space="preserve">Caixa inicial (R$)</t>
  </si>
  <si>
    <t xml:space="preserve">Dinheiro já disponível no mês 1</t>
  </si>
  <si>
    <t xml:space="preserve">Cenário em uso</t>
  </si>
  <si>
    <t xml:space="preserve">Realista</t>
  </si>
  <si>
    <t xml:space="preserve">Pessimista, Realista ou Otimista — muda Projeção, Fluxo, Unit Economics e Dashboard</t>
  </si>
  <si>
    <t xml:space="preserve">PREÇOS DOS PLANOS  (definidos no escopo)</t>
  </si>
  <si>
    <t xml:space="preserve">PLANO</t>
  </si>
  <si>
    <t xml:space="preserve">MENSAL</t>
  </si>
  <si>
    <t xml:space="preserve">DESCONTO ANUAL</t>
  </si>
  <si>
    <t xml:space="preserve">ANUAL (POR MÊS)</t>
  </si>
  <si>
    <t xml:space="preserve">ANUAL (COBRADO DE UMA VEZ)</t>
  </si>
  <si>
    <t xml:space="preserve">O QUE INCLUI</t>
  </si>
  <si>
    <t xml:space="preserve">Essencial</t>
  </si>
  <si>
    <t xml:space="preserve">1 barraca, lançar pedido, cozinha, chamada de senha, relatório do dia, histórico de 7 dias</t>
  </si>
  <si>
    <t xml:space="preserve">Pro</t>
  </si>
  <si>
    <t xml:space="preserve">Tudo do Essencial + várias barracas, histórico completo, exportar, custo/lucro/taxas, suporte prioritário no WhatsApp</t>
  </si>
  <si>
    <t xml:space="preserve">No plano anual a RECEITA é reconhecida em 12 parcelas iguais (cobrado ÷ 12), mas o CAIXA entra inteiro no mês da venda.</t>
  </si>
  <si>
    <t xml:space="preserve">PREMISSAS DE VENDA POR CENÁRIO</t>
  </si>
  <si>
    <t xml:space="preserve">PREMISSA</t>
  </si>
  <si>
    <t xml:space="preserve">PESSIMISTA</t>
  </si>
  <si>
    <t xml:space="preserve">REALISTA</t>
  </si>
  <si>
    <t xml:space="preserve">OTIMISTA</t>
  </si>
  <si>
    <t xml:space="preserve">EM USO</t>
  </si>
  <si>
    <t xml:space="preserve">COMO PREENCHER</t>
  </si>
  <si>
    <t xml:space="preserve">Novos clientes pagantes no mês 1</t>
  </si>
  <si>
    <t xml:space="preserve">Quantas assinaturas novas no primeiro mês de vendas</t>
  </si>
  <si>
    <t xml:space="preserve">Crescimento mensal dos novos clientes</t>
  </si>
  <si>
    <t xml:space="preserve">Quanto o nº de novos clientes cresce a cada mês. Ex.: 7% → 8; 8,6; 9,2...</t>
  </si>
  <si>
    <t xml:space="preserve">Churn mensal (plano mensal)</t>
  </si>
  <si>
    <t xml:space="preserve">% dos clientes do plano MENSAL que cancelam por mês</t>
  </si>
  <si>
    <t xml:space="preserve">Renovação do plano anual</t>
  </si>
  <si>
    <t xml:space="preserve">% dos clientes anuais que renovam ao fim dos 12 meses</t>
  </si>
  <si>
    <t xml:space="preserve">% dos novos clientes no plano Pro</t>
  </si>
  <si>
    <t xml:space="preserve">Mix de planos: o restante vai para o Essencial</t>
  </si>
  <si>
    <t xml:space="preserve">% dos novos clientes no plano anual</t>
  </si>
  <si>
    <t xml:space="preserve">Mix de cobrança: o restante paga mensal</t>
  </si>
  <si>
    <t xml:space="preserve">Conversão do teste grátis</t>
  </si>
  <si>
    <t xml:space="preserve">% dos testes grátis que viram pagantes. Sem teste grátis? Coloque 100%</t>
  </si>
  <si>
    <t xml:space="preserve">CUSTOS VARIÁVEIS POR CLIENTE</t>
  </si>
  <si>
    <t xml:space="preserve">Taxa do gateway de pagamento (%)</t>
  </si>
  <si>
    <t xml:space="preserve">% cobrado pelo gateway (cartão/Pix/boleto) sobre cada cobrança. Média ponderada.</t>
  </si>
  <si>
    <t xml:space="preserve">Tarifa fixa por cobrança (R$)</t>
  </si>
  <si>
    <t xml:space="preserve">Valor fixo por cobrança gerada (se houver). Mensal = 1 cobrança/mês; anual = 1 por ano.</t>
  </si>
  <si>
    <t xml:space="preserve">Imposto sobre faturamento (%)</t>
  </si>
  <si>
    <t xml:space="preserve">Alíquota do Simples Nacional (SaaS costuma ser Anexo III, a partir de 6%). Confirme com o contador.</t>
  </si>
  <si>
    <t xml:space="preserve">Infraestrutura por cliente ativo (R$/mês)</t>
  </si>
  <si>
    <t xml:space="preserve">Custo extra de servidor/banco/tempo real para cada cliente ativo.</t>
  </si>
  <si>
    <t xml:space="preserve">AQUISIÇÃO (MARKETING)</t>
  </si>
  <si>
    <t xml:space="preserve">Investimento em anúncios no mês 1 (R$)</t>
  </si>
  <si>
    <t xml:space="preserve">Meta/Google/Instagram pago no primeiro mês</t>
  </si>
  <si>
    <t xml:space="preserve">Crescimento mensal do investimento em anúncios</t>
  </si>
  <si>
    <t xml:space="preserve">Quanto o orçamento de anúncios sobe por mês. 0% = fixo</t>
  </si>
  <si>
    <t xml:space="preserve">% dos novos clientes vindos de indicação/revenda</t>
  </si>
  <si>
    <t xml:space="preserve">Parte dos novos clientes que gera comissão</t>
  </si>
  <si>
    <t xml:space="preserve">Comissão por cliente indicado (R$, paga uma vez)</t>
  </si>
  <si>
    <t xml:space="preserve">Valor pago ao indicador/revendedor por cliente novo. 0 se não houver</t>
  </si>
  <si>
    <t xml:space="preserve">O CAC não é digitado: ele é calculado (anúncios + comissões ÷ novos clientes) na Projeção e no Unit Economics.</t>
  </si>
  <si>
    <t xml:space="preserve">CUSTOS FIXOS MENSAIS</t>
  </si>
  <si>
    <t xml:space="preserve">DESCRIÇÃO</t>
  </si>
  <si>
    <t xml:space="preserve">VALOR MENSAL</t>
  </si>
  <si>
    <t xml:space="preserve">A PARTIR DO MÊS</t>
  </si>
  <si>
    <t xml:space="preserve">OBSERVAÇÃO</t>
  </si>
  <si>
    <t xml:space="preserve">Hospedagem — Cloudflare Pages</t>
  </si>
  <si>
    <t xml:space="preserve">Plano gratuito atende no início</t>
  </si>
  <si>
    <t xml:space="preserve">Backend, banco de dados e tempo real</t>
  </si>
  <si>
    <t xml:space="preserve">Ex.: Supabase/Firebase pago (~US$ 25)</t>
  </si>
  <si>
    <t xml:space="preserve">Domínio</t>
  </si>
  <si>
    <t xml:space="preserve">Valor anual ÷ 12</t>
  </si>
  <si>
    <t xml:space="preserve">E-mail profissional</t>
  </si>
  <si>
    <t xml:space="preserve">Google Workspace, Zoho etc.</t>
  </si>
  <si>
    <t xml:space="preserve">Ferramentas de IA</t>
  </si>
  <si>
    <t xml:space="preserve">Assinaturas de IA usadas no desenvolvimento/atendimento</t>
  </si>
  <si>
    <t xml:space="preserve">Design (Canva etc.)</t>
  </si>
  <si>
    <t xml:space="preserve">Site WordPress/Elementor + hospedagem</t>
  </si>
  <si>
    <t xml:space="preserve">Site institucional / página de vendas</t>
  </si>
  <si>
    <t xml:space="preserve">WhatsApp de atendimento (número/API)</t>
  </si>
  <si>
    <t xml:space="preserve">Suporte prioritário do plano Pro</t>
  </si>
  <si>
    <t xml:space="preserve">Pró-labore</t>
  </si>
  <si>
    <t xml:space="preserve">Sua retirada mensal</t>
  </si>
  <si>
    <t xml:space="preserve">Suporte e atendimento (pessoa)</t>
  </si>
  <si>
    <t xml:space="preserve">Exemplo: contratar a partir do mês 7</t>
  </si>
  <si>
    <t xml:space="preserve">Contador</t>
  </si>
  <si>
    <t xml:space="preserve">Impostos/taxas fixas (DAS MEI, anuidades)</t>
  </si>
  <si>
    <t xml:space="preserve">No Simples o imposto é % (linha 30); aqui só o que é fixo</t>
  </si>
  <si>
    <t xml:space="preserve">TOTAL (todos os custos já ativos)</t>
  </si>
  <si>
    <t xml:space="preserve">Clientes, MRR, custos e lucro por COMPETÊNCIA (o plano anual é distribuído em 12 meses). Tudo automático — edite só a aba Premissas.</t>
  </si>
  <si>
    <t xml:space="preserve">CLIENTES</t>
  </si>
  <si>
    <t xml:space="preserve">RECEITA E RESULTADO</t>
  </si>
  <si>
    <t xml:space="preserve">CÁLCULOS AUXILIARES</t>
  </si>
  <si>
    <t xml:space="preserve">Nº</t>
  </si>
  <si>
    <t xml:space="preserve">MÊS</t>
  </si>
  <si>
    <t xml:space="preserve">NOVOS CLIENTES</t>
  </si>
  <si>
    <t xml:space="preserve">TESTES GRÁTIS NECESSÁRIOS</t>
  </si>
  <si>
    <t xml:space="preserve">CANCELADOS</t>
  </si>
  <si>
    <t xml:space="preserve">ESSENCIAL MENSAL</t>
  </si>
  <si>
    <t xml:space="preserve">ESSENCIAL ANUAL</t>
  </si>
  <si>
    <t xml:space="preserve">PRO MENSAL</t>
  </si>
  <si>
    <t xml:space="preserve">PRO ANUAL</t>
  </si>
  <si>
    <t xml:space="preserve">MRR (RECEITA RECORRENTE)</t>
  </si>
  <si>
    <t xml:space="preserve">ARR (MRR × 12)</t>
  </si>
  <si>
    <t xml:space="preserve">TICKET MÉDIO (ARPU)</t>
  </si>
  <si>
    <t xml:space="preserve">IMPOSTOS</t>
  </si>
  <si>
    <t xml:space="preserve">GATEWAY</t>
  </si>
  <si>
    <t xml:space="preserve">INFRA POR CLIENTE</t>
  </si>
  <si>
    <t xml:space="preserve">MARGEM BRUTA %</t>
  </si>
  <si>
    <t xml:space="preserve">CUSTOS FIXOS</t>
  </si>
  <si>
    <t xml:space="preserve">ANÚNCIOS</t>
  </si>
  <si>
    <t xml:space="preserve">COMISSÕES DE INDICAÇÃO</t>
  </si>
  <si>
    <t xml:space="preserve">CUSTOS TOTAIS</t>
  </si>
  <si>
    <t xml:space="preserve">CAC DO MÊS</t>
  </si>
  <si>
    <t xml:space="preserve">CLIENTES P/ EQUILÍBRIO</t>
  </si>
  <si>
    <t xml:space="preserve">NOVOS ESS. MENSAL</t>
  </si>
  <si>
    <t xml:space="preserve">NOVOS ESS. ANUAL</t>
  </si>
  <si>
    <t xml:space="preserve">NOVOS PRO MENSAL</t>
  </si>
  <si>
    <t xml:space="preserve">NOVOS PRO ANUAL</t>
  </si>
  <si>
    <t xml:space="preserve">COBRANÇAS ANUAIS ESS. (NOVOS + RENOV.)</t>
  </si>
  <si>
    <t xml:space="preserve">COBRANÇAS ANUAIS PRO (NOVOS + RENOV.)</t>
  </si>
  <si>
    <t xml:space="preserve">ANUAIS QUE NÃO RENOVARAM</t>
  </si>
  <si>
    <t xml:space="preserve">Nº DE COBRANÇAS NO MÊS</t>
  </si>
  <si>
    <t xml:space="preserve">MÊS COM LUCRO?</t>
  </si>
  <si>
    <t xml:space="preserve">TOTAL</t>
  </si>
  <si>
    <t xml:space="preserve">Quando o dinheiro ENTRA e SAI. O plano anual entra inteiro no mês da venda ou da renovação; a última coluna mostra quanto desse dinheiro ainda é receita dos meses seguintes (não gaste como se fosse lucro).</t>
  </si>
  <si>
    <t xml:space="preserve">ENTRADAS</t>
  </si>
  <si>
    <t xml:space="preserve">SAÍDAS</t>
  </si>
  <si>
    <t xml:space="preserve">SALDO</t>
  </si>
  <si>
    <t xml:space="preserve">PLANO ANUAL (COMPETÊNCIA)</t>
  </si>
  <si>
    <t xml:space="preserve">ENTRADA MENSALIDADES</t>
  </si>
  <si>
    <t xml:space="preserve">ENTRADA PLANO ANUAL (À VISTA)</t>
  </si>
  <si>
    <t xml:space="preserve">TOTAL DE ENTRADAS</t>
  </si>
  <si>
    <t xml:space="preserve">(−) IMPOSTOS</t>
  </si>
  <si>
    <t xml:space="preserve">(−) GATEWAY</t>
  </si>
  <si>
    <t xml:space="preserve">(−) INFRA</t>
  </si>
  <si>
    <t xml:space="preserve">(−) CUSTOS FIXOS</t>
  </si>
  <si>
    <t xml:space="preserve">(−) MARKETING</t>
  </si>
  <si>
    <t xml:space="preserve">TOTAL DE SAÍDAS</t>
  </si>
  <si>
    <t xml:space="preserve">SALDO DO MÊS</t>
  </si>
  <si>
    <t xml:space="preserve">SALDO ACUMULADO EM CAIXA</t>
  </si>
  <si>
    <t xml:space="preserve">RECEITA ANUAL RECONHECIDA NO MÊS</t>
  </si>
  <si>
    <t xml:space="preserve">RECEITA ANUAL A RECONHECER (JÁ RECEBIDA)</t>
  </si>
  <si>
    <t xml:space="preserve">RESUMO DO CAIXA</t>
  </si>
  <si>
    <t xml:space="preserve">Caixa no fim do mês 24</t>
  </si>
  <si>
    <t xml:space="preserve">Menor saldo acumulado (necessidade máxima de capital)</t>
  </si>
  <si>
    <t xml:space="preserve">Mês do menor saldo</t>
  </si>
  <si>
    <t xml:space="preserve">Total recebido à vista em planos anuais (24 meses)</t>
  </si>
  <si>
    <t xml:space="preserve">Receita anual já recebida e ainda a reconhecer no mês 24</t>
  </si>
  <si>
    <t xml:space="preserve">Quanto cada cliente deixa, quanto custa para conquistá-lo e em quantos meses ele se paga. LTV = ticket × margem ÷ churn.</t>
  </si>
  <si>
    <t xml:space="preserve">CAC — CUSTO PARA CONQUISTAR UM CLIENTE</t>
  </si>
  <si>
    <t xml:space="preserve">Investimento em aquisição em 24 meses (anúncios + comissões)</t>
  </si>
  <si>
    <t xml:space="preserve">Novos clientes em 24 meses</t>
  </si>
  <si>
    <t xml:space="preserve">CAC médio dos 24 meses</t>
  </si>
  <si>
    <t xml:space="preserve">CAC no mês 1</t>
  </si>
  <si>
    <t xml:space="preserve">CAC no mês 24</t>
  </si>
  <si>
    <t xml:space="preserve">RETORNO POR CLIENTE — POR PLANO</t>
  </si>
  <si>
    <t xml:space="preserve">PLANO / COBRANÇA</t>
  </si>
  <si>
    <t xml:space="preserve">PESO NO MIX</t>
  </si>
  <si>
    <t xml:space="preserve">RECEITA POR MÊS</t>
  </si>
  <si>
    <t xml:space="preserve">CUSTO VARIÁVEL POR MÊS</t>
  </si>
  <si>
    <t xml:space="preserve">MARGEM POR MÊS</t>
  </si>
  <si>
    <t xml:space="preserve">MARGEM %</t>
  </si>
  <si>
    <t xml:space="preserve">CHURN MENSAL (EQUIV.)</t>
  </si>
  <si>
    <t xml:space="preserve">VIDA MÉDIA</t>
  </si>
  <si>
    <t xml:space="preserve">LTV</t>
  </si>
  <si>
    <t xml:space="preserve">Essencial mensal</t>
  </si>
  <si>
    <t xml:space="preserve">Essencial anual</t>
  </si>
  <si>
    <t xml:space="preserve">Pro mensal</t>
  </si>
  <si>
    <t xml:space="preserve">Pro anual</t>
  </si>
  <si>
    <t xml:space="preserve">MÉDIA PONDERADA (mix em uso)</t>
  </si>
  <si>
    <t xml:space="preserve">Plano anual: churn equivalente = (1 − renovação) ÷ 12.  Referência de mercado SaaS: LTV/CAC ≥ 3x e payback ≤ 12 meses.</t>
  </si>
  <si>
    <t xml:space="preserve">VISÃO REAL DA PROJEÇÃO (24 MESES)</t>
  </si>
  <si>
    <t xml:space="preserve">Ticket médio real (ARPU = MRR ÷ clientes ativos)</t>
  </si>
  <si>
    <t xml:space="preserve">Margem bruta real %</t>
  </si>
  <si>
    <t xml:space="preserve">Churn efetivo médio (cancelados ÷ ativos do mês anterior)</t>
  </si>
  <si>
    <t xml:space="preserve">No início quase ninguém cancela (anuais só saem no mês 13), por isso o churn efetivo fica abaixo do churn digitado.</t>
  </si>
  <si>
    <t xml:space="preserve">LTV (ticket × margem ÷ churn efetivo)</t>
  </si>
  <si>
    <t xml:space="preserve">Payback do CAC (meses)</t>
  </si>
  <si>
    <t xml:space="preserve">PONTO DE EQUILÍBRIO</t>
  </si>
  <si>
    <t xml:space="preserve">Margem média por cliente/mês (mix em uso)</t>
  </si>
  <si>
    <t xml:space="preserve">Custos fixos no mês 24</t>
  </si>
  <si>
    <t xml:space="preserve">Clientes necessários para cobrir os custos fixos</t>
  </si>
  <si>
    <t xml:space="preserve">Mesmo número que a coluna CLIENTES P/ EQUILÍBRIO da Projeção (mês a mês).</t>
  </si>
  <si>
    <t xml:space="preserve">Clientes necessários para cobrir fixos + marketing do mês 24</t>
  </si>
  <si>
    <t xml:space="preserve">Clientes ativos no mês 24</t>
  </si>
  <si>
    <t xml:space="preserve">Primeiro mês com lucro líquido positivo</t>
  </si>
  <si>
    <t xml:space="preserve">CENÁRIOS  ·  PESSIMISTA × REALISTA × OTIMISTA</t>
  </si>
  <si>
    <t xml:space="preserve">Os três cenários calculados ao mesmo tempo. As premissas de cada um ficam na aba Premissas (tabela PREMISSAS DE VENDA POR CENÁRIO).</t>
  </si>
  <si>
    <t xml:space="preserve">INDICADOR</t>
  </si>
  <si>
    <t xml:space="preserve">Clientes ativos — mês 12</t>
  </si>
  <si>
    <t xml:space="preserve">Clientes ativos — mês 24</t>
  </si>
  <si>
    <t xml:space="preserve">MRR — mês 12</t>
  </si>
  <si>
    <t xml:space="preserve">MRR — mês 24</t>
  </si>
  <si>
    <t xml:space="preserve">ARR — mês 24</t>
  </si>
  <si>
    <t xml:space="preserve">Ticket médio (ARPU) — mês 24</t>
  </si>
  <si>
    <t xml:space="preserve">Lucro líquido — mês 24</t>
  </si>
  <si>
    <t xml:space="preserve">Lucro acumulado em 24 meses</t>
  </si>
  <si>
    <t xml:space="preserve">Menor saldo de caixa (capital necessário)</t>
  </si>
  <si>
    <t xml:space="preserve">Primeiro mês com lucro</t>
  </si>
  <si>
    <t xml:space="preserve">CAC médio (24 meses)</t>
  </si>
  <si>
    <t xml:space="preserve">LTV (ticket × margem ÷ churn equivalente)</t>
  </si>
  <si>
    <t xml:space="preserve">LTV aqui usa a margem por cliente do mês 24 e o churn equivalente do mix (mensal + anual).</t>
  </si>
  <si>
    <t xml:space="preserve">DADOS DOS GRÁFICOS</t>
  </si>
  <si>
    <t xml:space="preserve">MRR PESSIMISTA</t>
  </si>
  <si>
    <t xml:space="preserve">MRR REALISTA</t>
  </si>
  <si>
    <t xml:space="preserve">MRR OTIMISTA</t>
  </si>
  <si>
    <t xml:space="preserve">CLIENTES PESS.</t>
  </si>
  <si>
    <t xml:space="preserve">CLIENTES REAL.</t>
  </si>
  <si>
    <t xml:space="preserve">CLIENTES OTIM.</t>
  </si>
  <si>
    <t xml:space="preserve">CAIXA PESS.</t>
  </si>
  <si>
    <t xml:space="preserve">CAIXA REAL.</t>
  </si>
  <si>
    <t xml:space="preserve">CAIXA OTIM.</t>
  </si>
  <si>
    <t xml:space="preserve">MOTOR DOS CENÁRIOS  ·  CÁLCULO AUTOMÁTICO — NÃO EDITAR</t>
  </si>
  <si>
    <t xml:space="preserve">Mesma lógica da Projeção e do Fluxo de Caixa, rodando os três cenários ao mesmo tempo para a aba Cenários.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</si>
</sst>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#,##0;\-#,##0;\-"/>
    <numFmt numFmtId="166" formatCode="&quot;R$ &quot;#,##0;&quot;-R$ &quot;#,##0;&quot;R$ 0&quot;"/>
    <numFmt numFmtId="167" formatCode="0.0\x;\-0.0\x;\-"/>
    <numFmt numFmtId="168" formatCode="0.0&quot; meses&quot;"/>
    <numFmt numFmtId="169" formatCode="&quot;mês 12: R$ &quot;#,##0"/>
    <numFmt numFmtId="170" formatCode="&quot;R$ &quot;#,##0.00;&quot;-R$ &quot;#,##0.00;\-"/>
    <numFmt numFmtId="171" formatCode="0.0%;\-0.0%;\-"/>
    <numFmt numFmtId="172" formatCode="#,##0&quot; clientes&quot;"/>
    <numFmt numFmtId="173" formatCode="mmm/yy"/>
    <numFmt numFmtId="174" formatCode="0%"/>
    <numFmt numFmtId="175" formatCode="&quot;meta: &quot;#,##0&quot; clientes&quot;"/>
    <numFmt numFmtId="176" formatCode="General"/>
    <numFmt numFmtId="177" formatCode="&quot;R$ &quot;#,##0"/>
    <numFmt numFmtId="178" formatCode="#,##0"/>
    <numFmt numFmtId="179" formatCode="#,##0.0;\-#,##0.0;\-"/>
    <numFmt numFmtId="180" formatCode="0"/>
    <numFmt numFmtId="181" formatCode="0.0&quot; meses&quot;;\-0.0&quot; meses&quot;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Outfit"/>
      <family val="0"/>
      <charset val="1"/>
    </font>
    <font>
      <b val="true"/>
      <sz val="10"/>
      <color rgb="FF18171C"/>
      <name val="Figtree"/>
      <family val="0"/>
      <charset val="1"/>
    </font>
    <font>
      <b val="true"/>
      <sz val="14"/>
      <color rgb="FFB38300"/>
      <name val="Outfit"/>
      <family val="0"/>
      <charset val="1"/>
    </font>
    <font>
      <sz val="11"/>
      <color rgb="FF18171C"/>
      <name val="Figtree"/>
      <family val="0"/>
      <charset val="1"/>
    </font>
    <font>
      <b val="true"/>
      <sz val="9"/>
      <color rgb="FFA34E00"/>
      <name val="Figtree"/>
      <family val="0"/>
      <charset val="1"/>
    </font>
    <font>
      <sz val="9"/>
      <color rgb="FF5E5C66"/>
      <name val="Figtree"/>
      <family val="0"/>
      <charset val="1"/>
    </font>
    <font>
      <b val="true"/>
      <sz val="9"/>
      <color rgb="FF5E5C66"/>
      <name val="Figtree"/>
      <family val="0"/>
      <charset val="1"/>
    </font>
    <font>
      <b val="true"/>
      <sz val="18"/>
      <color rgb="FFFFFFFF"/>
      <name val="Outfit"/>
      <family val="0"/>
      <charset val="1"/>
    </font>
    <font>
      <b val="true"/>
      <sz val="11"/>
      <color rgb="FF18171C"/>
      <name val="Outfit"/>
      <family val="0"/>
      <charset val="1"/>
    </font>
    <font>
      <b val="true"/>
      <sz val="22"/>
      <color rgb="FF18171C"/>
      <name val="Outfit"/>
      <family val="0"/>
      <charset val="1"/>
    </font>
    <font>
      <sz val="11"/>
      <color rgb="FFB5B3BB"/>
      <name val="Figtree"/>
      <family val="0"/>
      <charset val="1"/>
    </font>
    <font>
      <b val="true"/>
      <sz val="14"/>
      <color rgb="FF18171C"/>
      <name val="Figtree"/>
      <family val="0"/>
      <charset val="1"/>
    </font>
    <font>
      <b val="true"/>
      <sz val="11"/>
      <color rgb="FF18171C"/>
      <name val="Figtree"/>
      <family val="0"/>
      <charset val="1"/>
    </font>
    <font>
      <sz val="8"/>
      <color rgb="FF5E5C66"/>
      <name val="Figtree"/>
      <family val="0"/>
      <charset val="1"/>
    </font>
    <font>
      <b val="true"/>
      <sz val="12"/>
      <color rgb="FF18171C"/>
      <name val="Outfit"/>
      <family val="2"/>
    </font>
    <font>
      <sz val="10"/>
      <color rgb="FF000000"/>
      <name val="Calibri"/>
      <family val="2"/>
    </font>
    <font>
      <b val="true"/>
      <sz val="9"/>
      <color rgb="FF18171C"/>
      <name val="Figtree"/>
      <family val="0"/>
      <charset val="1"/>
    </font>
    <font>
      <b val="true"/>
      <sz val="9"/>
      <color rgb="FFFFFFFF"/>
      <name val="Figtree"/>
      <family val="0"/>
      <charset val="1"/>
    </font>
    <font>
      <sz val="11"/>
      <color rgb="FF5E5C66"/>
      <name val="Figtree"/>
      <family val="0"/>
      <charset val="1"/>
    </font>
    <font>
      <b val="true"/>
      <sz val="8"/>
      <color rgb="FF18171C"/>
      <name val="Figtree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6F5F2"/>
        <bgColor rgb="FFFFF8E1"/>
      </patternFill>
    </fill>
    <fill>
      <patternFill patternType="solid">
        <fgColor rgb="FF18171C"/>
        <bgColor rgb="FF2E2C35"/>
      </patternFill>
    </fill>
    <fill>
      <patternFill patternType="solid">
        <fgColor rgb="FFFFC21A"/>
        <bgColor rgb="FFE6A800"/>
      </patternFill>
    </fill>
    <fill>
      <patternFill patternType="solid">
        <fgColor rgb="FFFFFFFF"/>
        <bgColor rgb="FFF6F5F2"/>
      </patternFill>
    </fill>
    <fill>
      <patternFill patternType="solid">
        <fgColor rgb="FFFFF8E1"/>
        <bgColor rgb="FFF6F5F2"/>
      </patternFill>
    </fill>
    <fill>
      <patternFill patternType="solid">
        <fgColor rgb="FFECEAE6"/>
        <bgColor rgb="FFFDE7E4"/>
      </patternFill>
    </fill>
    <fill>
      <patternFill patternType="solid">
        <fgColor rgb="FF2E2C35"/>
        <bgColor rgb="FF333300"/>
      </patternFill>
    </fill>
    <fill>
      <patternFill patternType="solid">
        <fgColor rgb="FFB5B3BB"/>
        <bgColor rgb="FF969696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FFC21A"/>
      </bottom>
      <diagonal/>
    </border>
    <border diagonalUp="false" diagonalDown="false">
      <left style="thin">
        <color rgb="FFFFC21A"/>
      </left>
      <right style="thin">
        <color rgb="FFFFC21A"/>
      </right>
      <top style="thin">
        <color rgb="FFFFC21A"/>
      </top>
      <bottom style="thin">
        <color rgb="FFFFC21A"/>
      </bottom>
      <diagonal/>
    </border>
    <border diagonalUp="false" diagonalDown="false">
      <left style="thin">
        <color rgb="FFD9D7DC"/>
      </left>
      <right style="thin">
        <color rgb="FFD9D7DC"/>
      </right>
      <top style="thin">
        <color rgb="FFD9D7DC"/>
      </top>
      <bottom style="thin">
        <color rgb="FFD9D7DC"/>
      </bottom>
      <diagonal/>
    </border>
    <border diagonalUp="false" diagonalDown="false">
      <left style="thin">
        <color rgb="FFB5B3BB"/>
      </left>
      <right style="thin">
        <color rgb="FFB5B3BB"/>
      </right>
      <top style="thin">
        <color rgb="FFB5B3BB"/>
      </top>
      <bottom style="thin">
        <color rgb="FFB5B3BB"/>
      </bottom>
      <diagonal/>
    </border>
    <border diagonalUp="false" diagonalDown="false">
      <left style="thin">
        <color rgb="FFFFC21A"/>
      </left>
      <right/>
      <top style="thin">
        <color rgb="FFFFC21A"/>
      </top>
      <bottom style="thin">
        <color rgb="FFFFC21A"/>
      </bottom>
      <diagonal/>
    </border>
    <border diagonalUp="false" diagonalDown="false">
      <left style="thin">
        <color rgb="FFD9D7DC"/>
      </left>
      <right style="thin">
        <color rgb="FFD9D7DC"/>
      </right>
      <top style="thin">
        <color rgb="FFD9D7DC"/>
      </top>
      <bottom/>
      <diagonal/>
    </border>
    <border diagonalUp="false" diagonalDown="false">
      <left style="thin">
        <color rgb="FFD9D7DC"/>
      </left>
      <right style="thin">
        <color rgb="FFD9D7DC"/>
      </right>
      <top/>
      <bottom/>
      <diagonal/>
    </border>
    <border diagonalUp="false" diagonalDown="false">
      <left style="thin">
        <color rgb="FFD9D7DC"/>
      </left>
      <right style="thin">
        <color rgb="FFD9D7DC"/>
      </right>
      <top/>
      <bottom style="thin">
        <color rgb="FFD9D7DC"/>
      </bottom>
      <diagonal/>
    </border>
    <border diagonalUp="false" diagonalDown="false">
      <left style="thin">
        <color rgb="FFD9D7DC"/>
      </left>
      <right/>
      <top style="thin">
        <color rgb="FFD9D7DC"/>
      </top>
      <bottom style="thin">
        <color rgb="FFD9D7DC"/>
      </bottom>
      <diagonal/>
    </border>
    <border diagonalUp="false" diagonalDown="false">
      <left/>
      <right/>
      <top style="thin">
        <color rgb="FFD9D7DC"/>
      </top>
      <bottom style="thin">
        <color rgb="FFD9D7DC"/>
      </bottom>
      <diagonal/>
    </border>
    <border diagonalUp="false" diagonalDown="false">
      <left/>
      <right style="thin">
        <color rgb="FFD9D7DC"/>
      </right>
      <top style="thin">
        <color rgb="FFD9D7DC"/>
      </top>
      <bottom style="thin">
        <color rgb="FFD9D7DC"/>
      </bottom>
      <diagonal/>
    </border>
    <border diagonalUp="false" diagonalDown="false">
      <left style="thin">
        <color rgb="FFE6A800"/>
      </left>
      <right style="thin">
        <color rgb="FFE6A800"/>
      </right>
      <top style="thin">
        <color rgb="FFE6A800"/>
      </top>
      <bottom style="thin">
        <color rgb="FFE6A800"/>
      </bottom>
      <diagonal/>
    </border>
    <border diagonalUp="false" diagonalDown="false">
      <left style="thin">
        <color rgb="FFD9D7DC"/>
      </left>
      <right style="thin">
        <color rgb="FFD9D7DC"/>
      </right>
      <top style="medium">
        <color rgb="FFB5B3BB"/>
      </top>
      <bottom style="thin">
        <color rgb="FFD9D7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9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" fillId="5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6" fillId="6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6" fillId="6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6" fillId="6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16" fillId="6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16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6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16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6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22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22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16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6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16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6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6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6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16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B22514"/>
      </font>
    </dxf>
    <dxf>
      <font>
        <color rgb="FF0E7A40"/>
      </font>
    </dxf>
    <dxf>
      <font>
        <color rgb="FFE6A800"/>
      </font>
    </dxf>
    <dxf>
      <font>
        <b val="1"/>
        <color rgb="FFB22514"/>
      </font>
      <fill>
        <patternFill>
          <bgColor rgb="FFFDE7E4"/>
        </patternFill>
      </fill>
      <border diagonalUp="false" diagonalDown="false">
        <left/>
        <right/>
        <top style="thin">
          <color rgb="FFF0412F"/>
        </top>
        <bottom style="thin">
          <color rgb="FFF0412F"/>
        </bottom>
        <diagonal/>
      </border>
    </dxf>
    <dxf>
      <font>
        <b val="1"/>
        <color rgb="FF0E7A40"/>
      </font>
      <fill>
        <patternFill>
          <bgColor rgb="FFE3F7EC"/>
        </patternFill>
      </fill>
      <border diagonalUp="false" diagonalDown="false">
        <left/>
        <right/>
        <top style="thin">
          <color rgb="FF1FBF6A"/>
        </top>
        <bottom style="thin">
          <color rgb="FF1FBF6A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E7A40"/>
      <rgbColor rgb="FF000080"/>
      <rgbColor rgb="FFB38300"/>
      <rgbColor rgb="FF800080"/>
      <rgbColor rgb="FF008080"/>
      <rgbColor rgb="FFB5B3BB"/>
      <rgbColor rgb="FF878787"/>
      <rgbColor rgb="FF9999FF"/>
      <rgbColor rgb="FFA34E00"/>
      <rgbColor rgb="FFFFF8E1"/>
      <rgbColor rgb="FFE3F7EC"/>
      <rgbColor rgb="FF660066"/>
      <rgbColor rgb="FFFF8080"/>
      <rgbColor rgb="FF0066CC"/>
      <rgbColor rgb="FFD9D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5F2"/>
      <rgbColor rgb="FFECEAE6"/>
      <rgbColor rgb="FFFDE7E4"/>
      <rgbColor rgb="FF99CCFF"/>
      <rgbColor rgb="FFFF99CC"/>
      <rgbColor rgb="FFCC99FF"/>
      <rgbColor rgb="FFFFCC99"/>
      <rgbColor rgb="FF3366FF"/>
      <rgbColor rgb="FF33CCCC"/>
      <rgbColor rgb="FF99CC00"/>
      <rgbColor rgb="FFFFC21A"/>
      <rgbColor rgb="FFE6A800"/>
      <rgbColor rgb="FFF0412F"/>
      <rgbColor rgb="FF5E5C66"/>
      <rgbColor rgb="FF969696"/>
      <rgbColor rgb="FF003366"/>
      <rgbColor rgb="FF1FBF6A"/>
      <rgbColor rgb="FF18171C"/>
      <rgbColor rgb="FF333300"/>
      <rgbColor rgb="FFB22514"/>
      <rgbColor rgb="FF993366"/>
      <rgbColor rgb="FF333399"/>
      <rgbColor rgb="FF2E2C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MRR × custos totais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'Projeção 24 meses'!L5</c:f>
              <c:strCache>
                <c:ptCount val="1"/>
                <c:pt idx="0">
                  <c:v>MRR (RECEITA RECORRENTE)</c:v>
                </c:pt>
              </c:strCache>
            </c:strRef>
          </c:tx>
          <c:spPr>
            <a:solidFill>
              <a:srgbClr val="e6a800"/>
            </a:solidFill>
            <a:ln w="28080">
              <a:solidFill>
                <a:srgbClr val="e6a8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'Projeção 24 meses'!$C$6:$C$29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'Projeção 24 meses'!$L$6:$L$29</c:f>
              <c:numCache>
                <c:formatCode>"R$ "#,##0.00;"-R$ "#,##0.00;\-</c:formatCode>
                <c:ptCount val="24"/>
                <c:pt idx="0">
                  <c:v>505.746</c:v>
                </c:pt>
                <c:pt idx="1">
                  <c:v>1025.96622</c:v>
                </c:pt>
                <c:pt idx="2">
                  <c:v>1562.7202554</c:v>
                </c:pt>
                <c:pt idx="3">
                  <c:v>2118.159553278</c:v>
                </c:pt>
                <c:pt idx="4">
                  <c:v>2694.53645800746</c:v>
                </c:pt>
                <c:pt idx="5">
                  <c:v>3294.21375926798</c:v>
                </c:pt>
                <c:pt idx="6">
                  <c:v>3919.67478415674</c:v>
                </c:pt>
                <c:pt idx="7">
                  <c:v>4573.53407770071</c:v>
                </c:pt>
                <c:pt idx="8">
                  <c:v>5258.54871886011</c:v>
                </c:pt>
                <c:pt idx="9">
                  <c:v>5977.63032211465</c:v>
                </c:pt>
                <c:pt idx="10">
                  <c:v>6733.8577779503</c:v>
                </c:pt>
                <c:pt idx="11">
                  <c:v>7530.49078903005</c:v>
                </c:pt>
                <c:pt idx="12">
                  <c:v>8340.46916255423</c:v>
                </c:pt>
                <c:pt idx="13">
                  <c:v>9195.8373663105</c:v>
                </c:pt>
                <c:pt idx="14">
                  <c:v>10100.3381212108</c:v>
                </c:pt>
                <c:pt idx="15">
                  <c:v>11057.9478669913</c:v>
                </c:pt>
                <c:pt idx="16">
                  <c:v>12072.8945361115</c:v>
                </c:pt>
                <c:pt idx="17">
                  <c:v>13149.6765011487</c:v>
                </c:pt>
                <c:pt idx="18">
                  <c:v>14293.082781363</c:v>
                </c:pt>
                <c:pt idx="19">
                  <c:v>15508.2145999355</c:v>
                </c:pt>
                <c:pt idx="20">
                  <c:v>16800.5083896143</c:v>
                </c:pt>
                <c:pt idx="21">
                  <c:v>18175.7603511865</c:v>
                </c:pt>
                <c:pt idx="22">
                  <c:v>19640.1526763538</c:v>
                </c:pt>
                <c:pt idx="23">
                  <c:v>21200.2815542535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'Projeção 24 meses'!W5</c:f>
              <c:strCache>
                <c:ptCount val="1"/>
                <c:pt idx="0">
                  <c:v>CUSTOS TOTAIS</c:v>
                </c:pt>
              </c:strCache>
            </c:strRef>
          </c:tx>
          <c:spPr>
            <a:solidFill>
              <a:srgbClr val="18171c"/>
            </a:solidFill>
            <a:ln w="28080">
              <a:solidFill>
                <a:srgbClr val="18171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'Projeção 24 meses'!$C$6:$C$29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'Projeção 24 meses'!$W$6:$W$29</c:f>
              <c:numCache>
                <c:formatCode>"R$ "#,##0.00;"-R$ "#,##0.00;\-</c:formatCode>
                <c:ptCount val="24"/>
                <c:pt idx="0">
                  <c:v>3798.96587</c:v>
                </c:pt>
                <c:pt idx="1">
                  <c:v>3904.1203909</c:v>
                </c:pt>
                <c:pt idx="2">
                  <c:v>4012.646016263</c:v>
                </c:pt>
                <c:pt idx="3">
                  <c:v>4124.83420900141</c:v>
                </c:pt>
                <c:pt idx="4">
                  <c:v>4240.98974015151</c:v>
                </c:pt>
                <c:pt idx="5">
                  <c:v>4361.43184555611</c:v>
                </c:pt>
                <c:pt idx="6">
                  <c:v>5686.49544837134</c:v>
                </c:pt>
                <c:pt idx="7">
                  <c:v>5816.53245264568</c:v>
                </c:pt>
                <c:pt idx="8">
                  <c:v>5951.91311355147</c:v>
                </c:pt>
                <c:pt idx="9">
                  <c:v>6093.02749020559</c:v>
                </c:pt>
                <c:pt idx="10">
                  <c:v>6240.28698739957</c:v>
                </c:pt>
                <c:pt idx="11">
                  <c:v>6394.12599297076</c:v>
                </c:pt>
                <c:pt idx="12">
                  <c:v>6552.33428348842</c:v>
                </c:pt>
                <c:pt idx="13">
                  <c:v>6717.37042498736</c:v>
                </c:pt>
                <c:pt idx="14">
                  <c:v>6890.20949382662</c:v>
                </c:pt>
                <c:pt idx="15">
                  <c:v>7071.37986548056</c:v>
                </c:pt>
                <c:pt idx="16">
                  <c:v>7261.44163389167</c:v>
                </c:pt>
                <c:pt idx="17">
                  <c:v>7460.98891037549</c:v>
                </c:pt>
                <c:pt idx="18">
                  <c:v>7670.65227397494</c:v>
                </c:pt>
                <c:pt idx="19">
                  <c:v>7891.10138417279</c:v>
                </c:pt>
                <c:pt idx="20">
                  <c:v>8123.04776761455</c:v>
                </c:pt>
                <c:pt idx="21">
                  <c:v>8367.24779128999</c:v>
                </c:pt>
                <c:pt idx="22">
                  <c:v>8624.50583547417</c:v>
                </c:pt>
                <c:pt idx="23">
                  <c:v>8895.67768064234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165795"/>
        <c:axId val="57397660"/>
      </c:lineChart>
      <c:catAx>
        <c:axId val="26165795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97660"/>
        <c:crosses val="autoZero"/>
        <c:auto val="1"/>
        <c:lblAlgn val="ctr"/>
        <c:lblOffset val="100"/>
        <c:noMultiLvlLbl val="0"/>
      </c:catAx>
      <c:valAx>
        <c:axId val="57397660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657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Clientes ativos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'Projeção 24 meses'!G5</c:f>
              <c:strCache>
                <c:ptCount val="1"/>
                <c:pt idx="0">
                  <c:v>CLIENTES ATIVOS</c:v>
                </c:pt>
              </c:strCache>
            </c:strRef>
          </c:tx>
          <c:spPr>
            <a:solidFill>
              <a:srgbClr val="ffc21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'Projeção 24 meses'!$C$6:$C$29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'Projeção 24 meses'!$G$6:$G$29</c:f>
              <c:numCache>
                <c:formatCode>#,##0.0;\-#,##0.0;\-</c:formatCode>
                <c:ptCount val="24"/>
                <c:pt idx="0">
                  <c:v>8</c:v>
                </c:pt>
                <c:pt idx="1">
                  <c:v>16.24</c:v>
                </c:pt>
                <c:pt idx="2">
                  <c:v>24.7528</c:v>
                </c:pt>
                <c:pt idx="3">
                  <c:v>33.572696</c:v>
                </c:pt>
                <c:pt idx="4">
                  <c:v>42.73562472</c:v>
                </c:pt>
                <c:pt idx="5">
                  <c:v>52.2793164504</c:v>
                </c:pt>
                <c:pt idx="6">
                  <c:v>62.243456701928</c:v>
                </c:pt>
                <c:pt idx="7">
                  <c:v>72.669857366063</c:v>
                </c:pt>
                <c:pt idx="8">
                  <c:v>83.6026381419374</c:v>
                </c:pt>
                <c:pt idx="9">
                  <c:v>95.0884190341105</c:v>
                </c:pt>
                <c:pt idx="10">
                  <c:v>107.176524777624</c:v>
                </c:pt>
                <c:pt idx="11">
                  <c:v>119.919202102627</c:v>
                </c:pt>
                <c:pt idx="12">
                  <c:v>132.811850810852</c:v>
                </c:pt>
                <c:pt idx="13">
                  <c:v>146.4340697006</c:v>
                </c:pt>
                <c:pt idx="14">
                  <c:v>160.845574445982</c:v>
                </c:pt>
                <c:pt idx="15">
                  <c:v>176.109828530223</c:v>
                </c:pt>
                <c:pt idx="16">
                  <c:v>192.29432720671</c:v>
                </c:pt>
                <c:pt idx="17">
                  <c:v>209.470900256582</c:v>
                </c:pt>
                <c:pt idx="18">
                  <c:v>227.716034912675</c:v>
                </c:pt>
                <c:pt idx="19">
                  <c:v>247.111220412789</c:v>
                </c:pt>
                <c:pt idx="20">
                  <c:v>267.743315745098</c:v>
                </c:pt>
                <c:pt idx="21">
                  <c:v>289.704942255499</c:v>
                </c:pt>
                <c:pt idx="22">
                  <c:v>313.094902901216</c:v>
                </c:pt>
                <c:pt idx="23">
                  <c:v>338.018630057741</c:v>
                </c:pt>
              </c:numCache>
            </c:numRef>
          </c:val>
        </c:ser>
        <c:gapWidth val="50"/>
        <c:overlap val="0"/>
        <c:axId val="86295113"/>
        <c:axId val="10812132"/>
      </c:barChart>
      <c:catAx>
        <c:axId val="86295113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12132"/>
        <c:crosses val="autoZero"/>
        <c:auto val="1"/>
        <c:lblAlgn val="ctr"/>
        <c:lblOffset val="100"/>
        <c:noMultiLvlLbl val="0"/>
      </c:catAx>
      <c:valAx>
        <c:axId val="10812132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951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Lucro líquido mensal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'Projeção 24 meses'!X5</c:f>
              <c:strCache>
                <c:ptCount val="1"/>
                <c:pt idx="0">
                  <c:v>LUCRO LÍQUIDO</c:v>
                </c:pt>
              </c:strCache>
            </c:strRef>
          </c:tx>
          <c:spPr>
            <a:solidFill>
              <a:srgbClr val="ffc21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'Projeção 24 meses'!$C$6:$C$29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'Projeção 24 meses'!$X$6:$X$29</c:f>
              <c:numCache>
                <c:formatCode>"R$ "#,##0.00;"-R$ "#,##0.00;\-</c:formatCode>
                <c:ptCount val="24"/>
                <c:pt idx="0">
                  <c:v>-3293.21987</c:v>
                </c:pt>
                <c:pt idx="1">
                  <c:v>-2878.1541709</c:v>
                </c:pt>
                <c:pt idx="2">
                  <c:v>-2449.925760863</c:v>
                </c:pt>
                <c:pt idx="3">
                  <c:v>-2006.67465572341</c:v>
                </c:pt>
                <c:pt idx="4">
                  <c:v>-1546.45328214405</c:v>
                </c:pt>
                <c:pt idx="5">
                  <c:v>-1067.21808628813</c:v>
                </c:pt>
                <c:pt idx="6">
                  <c:v>-1766.8206642146</c:v>
                </c:pt>
                <c:pt idx="7">
                  <c:v>-1242.99837494497</c:v>
                </c:pt>
                <c:pt idx="8">
                  <c:v>-693.364394691354</c:v>
                </c:pt>
                <c:pt idx="9">
                  <c:v>-115.397168090936</c:v>
                </c:pt>
                <c:pt idx="10">
                  <c:v>493.570790550732</c:v>
                </c:pt>
                <c:pt idx="11">
                  <c:v>1136.36479605929</c:v>
                </c:pt>
                <c:pt idx="12">
                  <c:v>1788.13487906581</c:v>
                </c:pt>
                <c:pt idx="13">
                  <c:v>2478.46694132314</c:v>
                </c:pt>
                <c:pt idx="14">
                  <c:v>3210.1286273842</c:v>
                </c:pt>
                <c:pt idx="15">
                  <c:v>3986.56800151069</c:v>
                </c:pt>
                <c:pt idx="16">
                  <c:v>4811.45290221986</c:v>
                </c:pt>
                <c:pt idx="17">
                  <c:v>5688.68759077318</c:v>
                </c:pt>
                <c:pt idx="18">
                  <c:v>6622.43050738801</c:v>
                </c:pt>
                <c:pt idx="19">
                  <c:v>7617.11321576275</c:v>
                </c:pt>
                <c:pt idx="20">
                  <c:v>8677.46062199979</c:v>
                </c:pt>
                <c:pt idx="21">
                  <c:v>9808.51255989651</c:v>
                </c:pt>
                <c:pt idx="22">
                  <c:v>11015.6468408796</c:v>
                </c:pt>
                <c:pt idx="23">
                  <c:v>12304.6038736112</c:v>
                </c:pt>
              </c:numCache>
            </c:numRef>
          </c:val>
        </c:ser>
        <c:gapWidth val="50"/>
        <c:overlap val="0"/>
        <c:axId val="8526725"/>
        <c:axId val="6706707"/>
      </c:barChart>
      <c:catAx>
        <c:axId val="8526725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6707"/>
        <c:crosses val="autoZero"/>
        <c:auto val="1"/>
        <c:lblAlgn val="ctr"/>
        <c:lblOffset val="100"/>
        <c:noMultiLvlLbl val="0"/>
      </c:catAx>
      <c:valAx>
        <c:axId val="6706707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267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Caixa: entradas × saldo acumulado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'Fluxo de Caixa'!F5</c:f>
              <c:strCache>
                <c:ptCount val="1"/>
                <c:pt idx="0">
                  <c:v>TOTAL DE ENTRADAS</c:v>
                </c:pt>
              </c:strCache>
            </c:strRef>
          </c:tx>
          <c:spPr>
            <a:solidFill>
              <a:srgbClr val="18171c"/>
            </a:solidFill>
            <a:ln w="28080">
              <a:solidFill>
                <a:srgbClr val="18171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'Fluxo de Caixa'!$C$6:$C$29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'Fluxo de Caixa'!$F$6:$F$29</c:f>
              <c:numCache>
                <c:formatCode>"R$ "#,##0.00;"-R$ "#,##0.00;\-</c:formatCode>
                <c:ptCount val="24"/>
                <c:pt idx="0">
                  <c:v>1464.792</c:v>
                </c:pt>
                <c:pt idx="1">
                  <c:v>1964.95944</c:v>
                </c:pt>
                <c:pt idx="2">
                  <c:v>2480.2570008</c:v>
                </c:pt>
                <c:pt idx="3">
                  <c:v>3012.737870856</c:v>
                </c:pt>
                <c:pt idx="4">
                  <c:v>3564.54925781592</c:v>
                </c:pt>
                <c:pt idx="5">
                  <c:v>4137.94145506304</c:v>
                </c:pt>
                <c:pt idx="6">
                  <c:v>4735.27741865745</c:v>
                </c:pt>
                <c:pt idx="7">
                  <c:v>5359.04289661647</c:v>
                </c:pt>
                <c:pt idx="8">
                  <c:v>6011.85715509997</c:v>
                </c:pt>
                <c:pt idx="9">
                  <c:v>6696.4843488913</c:v>
                </c:pt>
                <c:pt idx="10">
                  <c:v>7415.84558660131</c:v>
                </c:pt>
                <c:pt idx="11">
                  <c:v>8173.03174428664</c:v>
                </c:pt>
                <c:pt idx="12">
                  <c:v>9651.36788467878</c:v>
                </c:pt>
                <c:pt idx="13">
                  <c:v>10541.8280989838</c:v>
                </c:pt>
                <c:pt idx="14">
                  <c:v>11483.8773051712</c:v>
                </c:pt>
                <c:pt idx="15">
                  <c:v>12481.6638938289</c:v>
                </c:pt>
                <c:pt idx="16">
                  <c:v>13539.5997848278</c:v>
                </c:pt>
                <c:pt idx="17">
                  <c:v>14662.3802172751</c:v>
                </c:pt>
                <c:pt idx="18">
                  <c:v>15855.0048576182</c:v>
                </c:pt>
                <c:pt idx="19">
                  <c:v>17122.8003215286</c:v>
                </c:pt>
                <c:pt idx="20">
                  <c:v>18471.444211719</c:v>
                </c:pt>
                <c:pt idx="21">
                  <c:v>19906.9907808385</c:v>
                </c:pt>
                <c:pt idx="22">
                  <c:v>21435.8983360813</c:v>
                </c:pt>
                <c:pt idx="23">
                  <c:v>23065.058510162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'Fluxo de Caixa'!N5</c:f>
              <c:strCache>
                <c:ptCount val="1"/>
                <c:pt idx="0">
                  <c:v>SALDO ACUMULADO EM CAIXA</c:v>
                </c:pt>
              </c:strCache>
            </c:strRef>
          </c:tx>
          <c:spPr>
            <a:solidFill>
              <a:srgbClr val="e6a800"/>
            </a:solidFill>
            <a:ln w="28080">
              <a:solidFill>
                <a:srgbClr val="e6a8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'Fluxo de Caixa'!$C$6:$C$29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'Fluxo de Caixa'!$N$6:$N$29</c:f>
              <c:numCache>
                <c:formatCode>"R$ "#,##0.00;"-R$ "#,##0.00;\-</c:formatCode>
                <c:ptCount val="24"/>
                <c:pt idx="0">
                  <c:v>-2425.28324</c:v>
                </c:pt>
                <c:pt idx="1">
                  <c:v>-4453.6485468</c:v>
                </c:pt>
                <c:pt idx="2">
                  <c:v>-6073.203553076</c:v>
                </c:pt>
                <c:pt idx="3">
                  <c:v>-7270.28483139132</c:v>
                </c:pt>
                <c:pt idx="4">
                  <c:v>-8029.37652970871</c:v>
                </c:pt>
                <c:pt idx="5">
                  <c:v>-8333.02105130232</c:v>
                </c:pt>
                <c:pt idx="6">
                  <c:v>-9361.72133129378</c:v>
                </c:pt>
                <c:pt idx="7">
                  <c:v>-9893.83422511999</c:v>
                </c:pt>
                <c:pt idx="8">
                  <c:v>-9905.45448501427</c:v>
                </c:pt>
                <c:pt idx="9">
                  <c:v>-9370.28875887234</c:v>
                </c:pt>
                <c:pt idx="10">
                  <c:v>-8259.51900149244</c:v>
                </c:pt>
                <c:pt idx="11">
                  <c:v>-6541.65464092594</c:v>
                </c:pt>
                <c:pt idx="12">
                  <c:v>-3567.15641833742</c:v>
                </c:pt>
                <c:pt idx="13">
                  <c:v>129.432136055023</c:v>
                </c:pt>
                <c:pt idx="14">
                  <c:v>4591.66372492338</c:v>
                </c:pt>
                <c:pt idx="15">
                  <c:v>9866.69473072212</c:v>
                </c:pt>
                <c:pt idx="16">
                  <c:v>16005.5158830302</c:v>
                </c:pt>
                <c:pt idx="17">
                  <c:v>23063.2003368978</c:v>
                </c:pt>
                <c:pt idx="18">
                  <c:v>31099.1703232968</c:v>
                </c:pt>
                <c:pt idx="19">
                  <c:v>40177.4836171013</c:v>
                </c:pt>
                <c:pt idx="20">
                  <c:v>50367.1411581057</c:v>
                </c:pt>
                <c:pt idx="21">
                  <c:v>61742.4172568373</c:v>
                </c:pt>
                <c:pt idx="22">
                  <c:v>74383.2139197703</c:v>
                </c:pt>
                <c:pt idx="23">
                  <c:v>88375.4409384787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403449"/>
        <c:axId val="90380147"/>
      </c:lineChart>
      <c:catAx>
        <c:axId val="40403449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380147"/>
        <c:crosses val="autoZero"/>
        <c:auto val="1"/>
        <c:lblAlgn val="ctr"/>
        <c:lblOffset val="100"/>
        <c:noMultiLvlLbl val="0"/>
      </c:catAx>
      <c:valAx>
        <c:axId val="90380147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4034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MRR por cenário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Cenários!C55</c:f>
              <c:strCache>
                <c:ptCount val="1"/>
                <c:pt idx="0">
                  <c:v>MRR PESSIMISTA</c:v>
                </c:pt>
              </c:strCache>
            </c:strRef>
          </c:tx>
          <c:spPr>
            <a:solidFill>
              <a:srgbClr val="f0412f"/>
            </a:solidFill>
            <a:ln w="28080">
              <a:solidFill>
                <a:srgbClr val="f0412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Cenários!$C$56:$C$79</c:f>
              <c:numCache>
                <c:formatCode>"R$ "#,##0;"-R$ "#,##0;"R$ 0"</c:formatCode>
                <c:ptCount val="24"/>
                <c:pt idx="0">
                  <c:v>245.5923</c:v>
                </c:pt>
                <c:pt idx="1">
                  <c:v>480.581169</c:v>
                </c:pt>
                <c:pt idx="2">
                  <c:v>706.08620007</c:v>
                </c:pt>
                <c:pt idx="3">
                  <c:v>923.1455583921</c:v>
                </c:pt>
                <c:pt idx="4">
                  <c:v>1132.72273967826</c:v>
                </c:pt>
                <c:pt idx="5">
                  <c:v>1335.71279524026</c:v>
                </c:pt>
                <c:pt idx="6">
                  <c:v>1532.94806659938</c:v>
                </c:pt>
                <c:pt idx="7">
                  <c:v>1725.20346909913</c:v>
                </c:pt>
                <c:pt idx="8">
                  <c:v>1913.20136083372</c:v>
                </c:pt>
                <c:pt idx="9">
                  <c:v>2097.61603030743</c:v>
                </c:pt>
                <c:pt idx="10">
                  <c:v>2279.07783357345</c:v>
                </c:pt>
                <c:pt idx="11">
                  <c:v>2458.1770091489</c:v>
                </c:pt>
                <c:pt idx="12">
                  <c:v>2624.99104674616</c:v>
                </c:pt>
                <c:pt idx="13">
                  <c:v>2790.20209928552</c:v>
                </c:pt>
                <c:pt idx="14">
                  <c:v>2954.2906697101</c:v>
                </c:pt>
                <c:pt idx="15">
                  <c:v>3117.70938865173</c:v>
                </c:pt>
                <c:pt idx="16">
                  <c:v>3280.88556125359</c:v>
                </c:pt>
                <c:pt idx="17">
                  <c:v>3444.22351975811</c:v>
                </c:pt>
                <c:pt idx="18">
                  <c:v>3608.10679768442</c:v>
                </c:pt>
                <c:pt idx="19">
                  <c:v>3772.90014016184</c:v>
                </c:pt>
                <c:pt idx="20">
                  <c:v>3938.95136382982</c:v>
                </c:pt>
                <c:pt idx="21">
                  <c:v>4106.5930786508</c:v>
                </c:pt>
                <c:pt idx="22">
                  <c:v>4276.14428300392</c:v>
                </c:pt>
                <c:pt idx="23">
                  <c:v>4447.91184252814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Cenários!D55</c:f>
              <c:strCache>
                <c:ptCount val="1"/>
                <c:pt idx="0">
                  <c:v>MRR REALISTA</c:v>
                </c:pt>
              </c:strCache>
            </c:strRef>
          </c:tx>
          <c:spPr>
            <a:solidFill>
              <a:srgbClr val="e6a800"/>
            </a:solidFill>
            <a:ln w="28080">
              <a:solidFill>
                <a:srgbClr val="e6a8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Cenários!$D$56:$D$79</c:f>
              <c:numCache>
                <c:formatCode>"R$ "#,##0;"-R$ "#,##0;"R$ 0"</c:formatCode>
                <c:ptCount val="24"/>
                <c:pt idx="0">
                  <c:v>505.746</c:v>
                </c:pt>
                <c:pt idx="1">
                  <c:v>1025.96622</c:v>
                </c:pt>
                <c:pt idx="2">
                  <c:v>1562.7202554</c:v>
                </c:pt>
                <c:pt idx="3">
                  <c:v>2118.159553278</c:v>
                </c:pt>
                <c:pt idx="4">
                  <c:v>2694.53645800746</c:v>
                </c:pt>
                <c:pt idx="5">
                  <c:v>3294.21375926798</c:v>
                </c:pt>
                <c:pt idx="6">
                  <c:v>3919.67478415674</c:v>
                </c:pt>
                <c:pt idx="7">
                  <c:v>4573.53407770071</c:v>
                </c:pt>
                <c:pt idx="8">
                  <c:v>5258.54871886011</c:v>
                </c:pt>
                <c:pt idx="9">
                  <c:v>5977.63032211465</c:v>
                </c:pt>
                <c:pt idx="10">
                  <c:v>6733.8577779503</c:v>
                </c:pt>
                <c:pt idx="11">
                  <c:v>7530.49078903005</c:v>
                </c:pt>
                <c:pt idx="12">
                  <c:v>8340.46916255423</c:v>
                </c:pt>
                <c:pt idx="13">
                  <c:v>9195.8373663105</c:v>
                </c:pt>
                <c:pt idx="14">
                  <c:v>10100.3381212108</c:v>
                </c:pt>
                <c:pt idx="15">
                  <c:v>11057.9478669913</c:v>
                </c:pt>
                <c:pt idx="16">
                  <c:v>12072.8945361115</c:v>
                </c:pt>
                <c:pt idx="17">
                  <c:v>13149.6765011487</c:v>
                </c:pt>
                <c:pt idx="18">
                  <c:v>14293.082781363</c:v>
                </c:pt>
                <c:pt idx="19">
                  <c:v>15508.2145999355</c:v>
                </c:pt>
                <c:pt idx="20">
                  <c:v>16800.5083896143</c:v>
                </c:pt>
                <c:pt idx="21">
                  <c:v>18175.7603511865</c:v>
                </c:pt>
                <c:pt idx="22">
                  <c:v>19640.1526763538</c:v>
                </c:pt>
                <c:pt idx="23">
                  <c:v>21200.2815542535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Cenários!E55</c:f>
              <c:strCache>
                <c:ptCount val="1"/>
                <c:pt idx="0">
                  <c:v>MRR OTIMISTA</c:v>
                </c:pt>
              </c:strCache>
            </c:strRef>
          </c:tx>
          <c:spPr>
            <a:solidFill>
              <a:srgbClr val="1fbf6a"/>
            </a:solidFill>
            <a:ln w="28080">
              <a:solidFill>
                <a:srgbClr val="1fbf6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Cenários!$E$56:$E$79</c:f>
              <c:numCache>
                <c:formatCode>"R$ "#,##0;"-R$ "#,##0;"R$ 0"</c:formatCode>
                <c:ptCount val="24"/>
                <c:pt idx="0">
                  <c:v>972.907875</c:v>
                </c:pt>
                <c:pt idx="1">
                  <c:v>2041.018695</c:v>
                </c:pt>
                <c:pt idx="2">
                  <c:v>3216.4031934</c:v>
                </c:pt>
                <c:pt idx="3">
                  <c:v>4512.561200208</c:v>
                </c:pt>
                <c:pt idx="4">
                  <c:v>5944.59371537496</c:v>
                </c:pt>
                <c:pt idx="5">
                  <c:v>7529.3956134777</c:v>
                </c:pt>
                <c:pt idx="6">
                  <c:v>9285.87145603503</c:v>
                </c:pt>
                <c:pt idx="7">
                  <c:v>11235.177184881</c:v>
                </c:pt>
                <c:pt idx="8">
                  <c:v>13400.9908028149</c:v>
                </c:pt>
                <c:pt idx="9">
                  <c:v>15809.8155204784</c:v>
                </c:pt>
                <c:pt idx="10">
                  <c:v>18491.3192658718</c:v>
                </c:pt>
                <c:pt idx="11">
                  <c:v>21478.7149204742</c:v>
                </c:pt>
                <c:pt idx="12">
                  <c:v>24758.2445945981</c:v>
                </c:pt>
                <c:pt idx="13">
                  <c:v>28416.3683021068</c:v>
                </c:pt>
                <c:pt idx="14">
                  <c:v>32498.9658128318</c:v>
                </c:pt>
                <c:pt idx="15">
                  <c:v>37057.4090144097</c:v>
                </c:pt>
                <c:pt idx="16">
                  <c:v>42149.2213700557</c:v>
                </c:pt>
                <c:pt idx="17">
                  <c:v>47838.8164991618</c:v>
                </c:pt>
                <c:pt idx="18">
                  <c:v>54198.3253758196</c:v>
                </c:pt>
                <c:pt idx="19">
                  <c:v>61308.5227797736</c:v>
                </c:pt>
                <c:pt idx="20">
                  <c:v>69259.8649104365</c:v>
                </c:pt>
                <c:pt idx="21">
                  <c:v>78153.6515038662</c:v>
                </c:pt>
                <c:pt idx="22">
                  <c:v>88103.3273933821</c:v>
                </c:pt>
                <c:pt idx="23">
                  <c:v>99235.9402473683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4125917"/>
        <c:axId val="251748"/>
      </c:lineChart>
      <c:catAx>
        <c:axId val="84125917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748"/>
        <c:crosses val="autoZero"/>
        <c:auto val="1"/>
        <c:lblAlgn val="ctr"/>
        <c:lblOffset val="100"/>
        <c:noMultiLvlLbl val="0"/>
      </c:catAx>
      <c:valAx>
        <c:axId val="251748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259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Clientes ativos por cenário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Cenários!F55</c:f>
              <c:strCache>
                <c:ptCount val="1"/>
                <c:pt idx="0">
                  <c:v>CLIENTES PESS.</c:v>
                </c:pt>
              </c:strCache>
            </c:strRef>
          </c:tx>
          <c:spPr>
            <a:solidFill>
              <a:srgbClr val="f0412f"/>
            </a:solidFill>
            <a:ln w="28080">
              <a:solidFill>
                <a:srgbClr val="f0412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Cenários!$F$56:$F$79</c:f>
              <c:numCache>
                <c:formatCode>#,##0;\-#,##0;\-</c:formatCode>
                <c:ptCount val="24"/>
                <c:pt idx="0">
                  <c:v>4</c:v>
                </c:pt>
                <c:pt idx="1">
                  <c:v>7.832</c:v>
                </c:pt>
                <c:pt idx="2">
                  <c:v>11.514</c:v>
                </c:pt>
                <c:pt idx="3">
                  <c:v>15.0626968</c:v>
                </c:pt>
                <c:pt idx="4">
                  <c:v>18.49359236</c:v>
                </c:pt>
                <c:pt idx="5">
                  <c:v>21.82109361432</c:v>
                </c:pt>
                <c:pt idx="6">
                  <c:v>25.058604427588</c:v>
                </c:pt>
                <c:pt idx="7">
                  <c:v>28.218610324867</c:v>
                </c:pt>
                <c:pt idx="8">
                  <c:v>31.3127565779082</c:v>
                </c:pt>
                <c:pt idx="9">
                  <c:v>34.3519201830771</c:v>
                </c:pt>
                <c:pt idx="10">
                  <c:v>37.3462762237745</c:v>
                </c:pt>
                <c:pt idx="11">
                  <c:v>40.3053590708764</c:v>
                </c:pt>
                <c:pt idx="12">
                  <c:v>43.0381188385602</c:v>
                </c:pt>
                <c:pt idx="13">
                  <c:v>45.74697347963</c:v>
                </c:pt>
                <c:pt idx="14">
                  <c:v>48.4396768738588</c:v>
                </c:pt>
                <c:pt idx="15">
                  <c:v>51.1235378347273</c:v>
                </c:pt>
                <c:pt idx="16">
                  <c:v>53.8054609720497</c:v>
                </c:pt>
                <c:pt idx="17">
                  <c:v>56.4919844433093</c:v>
                </c:pt>
                <c:pt idx="18">
                  <c:v>59.1893148473388</c:v>
                </c:pt>
                <c:pt idx="19">
                  <c:v>61.9033594938307</c:v>
                </c:pt>
                <c:pt idx="20">
                  <c:v>64.6397562636317</c:v>
                </c:pt>
                <c:pt idx="21">
                  <c:v>67.4039012577279</c:v>
                </c:pt>
                <c:pt idx="22">
                  <c:v>70.2009744171519</c:v>
                </c:pt>
                <c:pt idx="23">
                  <c:v>73.0359632816233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Cenários!G55</c:f>
              <c:strCache>
                <c:ptCount val="1"/>
                <c:pt idx="0">
                  <c:v>CLIENTES REAL.</c:v>
                </c:pt>
              </c:strCache>
            </c:strRef>
          </c:tx>
          <c:spPr>
            <a:solidFill>
              <a:srgbClr val="e6a800"/>
            </a:solidFill>
            <a:ln w="28080">
              <a:solidFill>
                <a:srgbClr val="e6a8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Cenários!$G$56:$G$79</c:f>
              <c:numCache>
                <c:formatCode>#,##0;\-#,##0;\-</c:formatCode>
                <c:ptCount val="24"/>
                <c:pt idx="0">
                  <c:v>8</c:v>
                </c:pt>
                <c:pt idx="1">
                  <c:v>16.24</c:v>
                </c:pt>
                <c:pt idx="2">
                  <c:v>24.7528</c:v>
                </c:pt>
                <c:pt idx="3">
                  <c:v>33.572696</c:v>
                </c:pt>
                <c:pt idx="4">
                  <c:v>42.73562472</c:v>
                </c:pt>
                <c:pt idx="5">
                  <c:v>52.2793164504</c:v>
                </c:pt>
                <c:pt idx="6">
                  <c:v>62.243456701928</c:v>
                </c:pt>
                <c:pt idx="7">
                  <c:v>72.669857366063</c:v>
                </c:pt>
                <c:pt idx="8">
                  <c:v>83.6026381419374</c:v>
                </c:pt>
                <c:pt idx="9">
                  <c:v>95.0884190341105</c:v>
                </c:pt>
                <c:pt idx="10">
                  <c:v>107.176524777624</c:v>
                </c:pt>
                <c:pt idx="11">
                  <c:v>119.919202102627</c:v>
                </c:pt>
                <c:pt idx="12">
                  <c:v>132.811850810852</c:v>
                </c:pt>
                <c:pt idx="13">
                  <c:v>146.4340697006</c:v>
                </c:pt>
                <c:pt idx="14">
                  <c:v>160.845574445982</c:v>
                </c:pt>
                <c:pt idx="15">
                  <c:v>176.109828530223</c:v>
                </c:pt>
                <c:pt idx="16">
                  <c:v>192.29432720671</c:v>
                </c:pt>
                <c:pt idx="17">
                  <c:v>209.470900256582</c:v>
                </c:pt>
                <c:pt idx="18">
                  <c:v>227.716034912675</c:v>
                </c:pt>
                <c:pt idx="19">
                  <c:v>247.111220412789</c:v>
                </c:pt>
                <c:pt idx="20">
                  <c:v>267.743315745098</c:v>
                </c:pt>
                <c:pt idx="21">
                  <c:v>289.704942255499</c:v>
                </c:pt>
                <c:pt idx="22">
                  <c:v>313.094902901216</c:v>
                </c:pt>
                <c:pt idx="23">
                  <c:v>338.018630057741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Cenários!H55</c:f>
              <c:strCache>
                <c:ptCount val="1"/>
                <c:pt idx="0">
                  <c:v>CLIENTES OTIM.</c:v>
                </c:pt>
              </c:strCache>
            </c:strRef>
          </c:tx>
          <c:spPr>
            <a:solidFill>
              <a:srgbClr val="1fbf6a"/>
            </a:solidFill>
            <a:ln w="28080">
              <a:solidFill>
                <a:srgbClr val="1fbf6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Cenários!$H$56:$H$79</c:f>
              <c:numCache>
                <c:formatCode>#,##0;\-#,##0;\-</c:formatCode>
                <c:ptCount val="24"/>
                <c:pt idx="0">
                  <c:v>15</c:v>
                </c:pt>
                <c:pt idx="1">
                  <c:v>31.485</c:v>
                </c:pt>
                <c:pt idx="2">
                  <c:v>49.64265</c:v>
                </c:pt>
                <c:pt idx="3">
                  <c:v>69.6828345</c:v>
                </c:pt>
                <c:pt idx="4">
                  <c:v>91.840349145</c:v>
                </c:pt>
                <c:pt idx="5">
                  <c:v>116.37789831225</c:v>
                </c:pt>
                <c:pt idx="6">
                  <c:v>143.589452161475</c:v>
                </c:pt>
                <c:pt idx="7">
                  <c:v>173.804006291053</c:v>
                </c:pt>
                <c:pt idx="8">
                  <c:v>207.389792320076</c:v>
                </c:pt>
                <c:pt idx="9">
                  <c:v>244.758993514358</c:v>
                </c:pt>
                <c:pt idx="10">
                  <c:v>286.373026068477</c:v>
                </c:pt>
                <c:pt idx="11">
                  <c:v>332.748453929119</c:v>
                </c:pt>
                <c:pt idx="12">
                  <c:v>383.563613191066</c:v>
                </c:pt>
                <c:pt idx="13">
                  <c:v>440.258031220732</c:v>
                </c:pt>
                <c:pt idx="14">
                  <c:v>503.543775880557</c:v>
                </c:pt>
                <c:pt idx="15">
                  <c:v>574.21816647216</c:v>
                </c:pt>
                <c:pt idx="16">
                  <c:v>653.174009810177</c:v>
                </c:pt>
                <c:pt idx="17">
                  <c:v>741.411064447916</c:v>
                </c:pt>
                <c:pt idx="18">
                  <c:v>840.048880438368</c:v>
                </c:pt>
                <c:pt idx="19">
                  <c:v>950.341179699973</c:v>
                </c:pt>
                <c:pt idx="20">
                  <c:v>1073.6919618647</c:v>
                </c:pt>
                <c:pt idx="21">
                  <c:v>1211.67354267117</c:v>
                </c:pt>
                <c:pt idx="22">
                  <c:v>1366.04675681294</c:v>
                </c:pt>
                <c:pt idx="23">
                  <c:v>1538.78358498109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413074"/>
        <c:axId val="64521253"/>
      </c:lineChart>
      <c:catAx>
        <c:axId val="18413074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521253"/>
        <c:crosses val="autoZero"/>
        <c:auto val="1"/>
        <c:lblAlgn val="ctr"/>
        <c:lblOffset val="100"/>
        <c:noMultiLvlLbl val="0"/>
      </c:catAx>
      <c:valAx>
        <c:axId val="64521253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4130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Saldo de caixa acumulado por cenário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Cenários!I55</c:f>
              <c:strCache>
                <c:ptCount val="1"/>
                <c:pt idx="0">
                  <c:v>CAIXA PESS.</c:v>
                </c:pt>
              </c:strCache>
            </c:strRef>
          </c:tx>
          <c:spPr>
            <a:solidFill>
              <a:srgbClr val="f0412f"/>
            </a:solidFill>
            <a:ln w="28080">
              <a:solidFill>
                <a:srgbClr val="f0412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Cenários!$I$56:$I$79</c:f>
              <c:numCache>
                <c:formatCode>"R$ "#,##0;"-R$ "#,##0;"R$ 0"</c:formatCode>
                <c:ptCount val="24"/>
                <c:pt idx="0">
                  <c:v>-3292.118822</c:v>
                </c:pt>
                <c:pt idx="1">
                  <c:v>-6433.59482466</c:v>
                </c:pt>
                <c:pt idx="2">
                  <c:v>-9434.6092341198</c:v>
                </c:pt>
                <c:pt idx="3">
                  <c:v>-12304.4726724458</c:v>
                </c:pt>
                <c:pt idx="4">
                  <c:v>-15051.6931227774</c:v>
                </c:pt>
                <c:pt idx="5">
                  <c:v>-17684.0384067663</c:v>
                </c:pt>
                <c:pt idx="6">
                  <c:v>-21408.5936118103</c:v>
                </c:pt>
                <c:pt idx="7">
                  <c:v>-25031.8138705385</c:v>
                </c:pt>
                <c:pt idx="8">
                  <c:v>-28559.5728627585</c:v>
                </c:pt>
                <c:pt idx="9">
                  <c:v>-31997.2073804169</c:v>
                </c:pt>
                <c:pt idx="10">
                  <c:v>-35349.558268823</c:v>
                </c:pt>
                <c:pt idx="11">
                  <c:v>-38621.0080322817</c:v>
                </c:pt>
                <c:pt idx="12">
                  <c:v>-41701.7423801727</c:v>
                </c:pt>
                <c:pt idx="13">
                  <c:v>-44705.5877125866</c:v>
                </c:pt>
                <c:pt idx="14">
                  <c:v>-47635.6422427323</c:v>
                </c:pt>
                <c:pt idx="15">
                  <c:v>-50494.6647395208</c:v>
                </c:pt>
                <c:pt idx="16">
                  <c:v>-53285.0989354925</c:v>
                </c:pt>
                <c:pt idx="17">
                  <c:v>-56009.0958996805</c:v>
                </c:pt>
                <c:pt idx="18">
                  <c:v>-58668.5345357442</c:v>
                </c:pt>
                <c:pt idx="19">
                  <c:v>-61265.040352804</c:v>
                </c:pt>
                <c:pt idx="20">
                  <c:v>-63800.0026445366</c:v>
                </c:pt>
                <c:pt idx="21">
                  <c:v>-66274.5902011693</c:v>
                </c:pt>
                <c:pt idx="22">
                  <c:v>-68689.7656689572</c:v>
                </c:pt>
                <c:pt idx="23">
                  <c:v>-71046.2986624786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Cenários!J55</c:f>
              <c:strCache>
                <c:ptCount val="1"/>
                <c:pt idx="0">
                  <c:v>CAIXA REAL.</c:v>
                </c:pt>
              </c:strCache>
            </c:strRef>
          </c:tx>
          <c:spPr>
            <a:solidFill>
              <a:srgbClr val="e6a800"/>
            </a:solidFill>
            <a:ln w="28080">
              <a:solidFill>
                <a:srgbClr val="e6a8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Cenários!$J$56:$J$79</c:f>
              <c:numCache>
                <c:formatCode>"R$ "#,##0;"-R$ "#,##0;"R$ 0"</c:formatCode>
                <c:ptCount val="24"/>
                <c:pt idx="0">
                  <c:v>-2425.28324</c:v>
                </c:pt>
                <c:pt idx="1">
                  <c:v>-4453.6485468</c:v>
                </c:pt>
                <c:pt idx="2">
                  <c:v>-6073.203553076</c:v>
                </c:pt>
                <c:pt idx="3">
                  <c:v>-7270.28483139132</c:v>
                </c:pt>
                <c:pt idx="4">
                  <c:v>-8029.37652970871</c:v>
                </c:pt>
                <c:pt idx="5">
                  <c:v>-8333.02105130232</c:v>
                </c:pt>
                <c:pt idx="6">
                  <c:v>-9361.72133129378</c:v>
                </c:pt>
                <c:pt idx="7">
                  <c:v>-9893.83422511999</c:v>
                </c:pt>
                <c:pt idx="8">
                  <c:v>-9905.45448501427</c:v>
                </c:pt>
                <c:pt idx="9">
                  <c:v>-9370.28875887234</c:v>
                </c:pt>
                <c:pt idx="10">
                  <c:v>-8259.51900149244</c:v>
                </c:pt>
                <c:pt idx="11">
                  <c:v>-6541.65464092594</c:v>
                </c:pt>
                <c:pt idx="12">
                  <c:v>-3567.15641833742</c:v>
                </c:pt>
                <c:pt idx="13">
                  <c:v>129.432136055023</c:v>
                </c:pt>
                <c:pt idx="14">
                  <c:v>4591.66372492338</c:v>
                </c:pt>
                <c:pt idx="15">
                  <c:v>9866.69473072212</c:v>
                </c:pt>
                <c:pt idx="16">
                  <c:v>16005.5158830302</c:v>
                </c:pt>
                <c:pt idx="17">
                  <c:v>23063.2003368978</c:v>
                </c:pt>
                <c:pt idx="18">
                  <c:v>31099.1703232968</c:v>
                </c:pt>
                <c:pt idx="19">
                  <c:v>40177.4836171013</c:v>
                </c:pt>
                <c:pt idx="20">
                  <c:v>50367.1411581057</c:v>
                </c:pt>
                <c:pt idx="21">
                  <c:v>61742.4172568373</c:v>
                </c:pt>
                <c:pt idx="22">
                  <c:v>74383.2139197703</c:v>
                </c:pt>
                <c:pt idx="23">
                  <c:v>88375.4409384787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Cenários!K55</c:f>
              <c:strCache>
                <c:ptCount val="1"/>
                <c:pt idx="0">
                  <c:v>CAIXA OTIM.</c:v>
                </c:pt>
              </c:strCache>
            </c:strRef>
          </c:tx>
          <c:spPr>
            <a:solidFill>
              <a:srgbClr val="1fbf6a"/>
            </a:solidFill>
            <a:ln w="28080">
              <a:solidFill>
                <a:srgbClr val="1fbf6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Cenários!$K$56:$K$79</c:f>
              <c:numCache>
                <c:formatCode>"R$ "#,##0;"-R$ "#,##0;"R$ 0"</c:formatCode>
                <c:ptCount val="24"/>
                <c:pt idx="0">
                  <c:v>-383.7514775</c:v>
                </c:pt>
                <c:pt idx="1">
                  <c:v>202.9855877</c:v>
                </c:pt>
                <c:pt idx="2">
                  <c:v>1862.108159124</c:v>
                </c:pt>
                <c:pt idx="3">
                  <c:v>4708.42068576688</c:v>
                </c:pt>
                <c:pt idx="4">
                  <c:v>8871.17089485547</c:v>
                </c:pt>
                <c:pt idx="5">
                  <c:v>14495.7704916058</c:v>
                </c:pt>
                <c:pt idx="6">
                  <c:v>20545.7229430211</c:v>
                </c:pt>
                <c:pt idx="7">
                  <c:v>28404.7831845714</c:v>
                </c:pt>
                <c:pt idx="8">
                  <c:v>38279.3770697959</c:v>
                </c:pt>
                <c:pt idx="9">
                  <c:v>50401.3117218046</c:v>
                </c:pt>
                <c:pt idx="10">
                  <c:v>65030.8116852544</c:v>
                </c:pt>
                <c:pt idx="11">
                  <c:v>82459.919965711</c:v>
                </c:pt>
                <c:pt idx="12">
                  <c:v>105227.895752246</c:v>
                </c:pt>
                <c:pt idx="13">
                  <c:v>131756.55832711</c:v>
                </c:pt>
                <c:pt idx="14">
                  <c:v>162490.050877266</c:v>
                </c:pt>
                <c:pt idx="15">
                  <c:v>197926.374408839</c:v>
                </c:pt>
                <c:pt idx="16">
                  <c:v>238623.84426011</c:v>
                </c:pt>
                <c:pt idx="17">
                  <c:v>285208.321900639</c:v>
                </c:pt>
                <c:pt idx="18">
                  <c:v>338381.315045079</c:v>
                </c:pt>
                <c:pt idx="19">
                  <c:v>398929.050274112</c:v>
                </c:pt>
                <c:pt idx="20">
                  <c:v>467732.634858466</c:v>
                </c:pt>
                <c:pt idx="21">
                  <c:v>545779.438485974</c:v>
                </c:pt>
                <c:pt idx="22">
                  <c:v>634175.841276025</c:v>
                </c:pt>
                <c:pt idx="23">
                  <c:v>734161.512032337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6724992"/>
        <c:axId val="50839821"/>
      </c:lineChart>
      <c:catAx>
        <c:axId val="76724992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39821"/>
        <c:crosses val="autoZero"/>
        <c:auto val="1"/>
        <c:lblAlgn val="ctr"/>
        <c:lblOffset val="100"/>
        <c:noMultiLvlLbl val="0"/>
      </c:catAx>
      <c:valAx>
        <c:axId val="50839821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249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7</xdr:col>
      <xdr:colOff>959040</xdr:colOff>
      <xdr:row>32</xdr:row>
      <xdr:rowOff>22320</xdr:rowOff>
    </xdr:to>
    <xdr:graphicFrame>
      <xdr:nvGraphicFramePr>
        <xdr:cNvPr id="0" name="Chart 1"/>
        <xdr:cNvGraphicFramePr/>
      </xdr:nvGraphicFramePr>
      <xdr:xfrm>
        <a:off x="266760" y="45910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17</xdr:row>
      <xdr:rowOff>0</xdr:rowOff>
    </xdr:from>
    <xdr:to>
      <xdr:col>16</xdr:col>
      <xdr:colOff>959040</xdr:colOff>
      <xdr:row>32</xdr:row>
      <xdr:rowOff>22320</xdr:rowOff>
    </xdr:to>
    <xdr:graphicFrame>
      <xdr:nvGraphicFramePr>
        <xdr:cNvPr id="1" name="Chart 2"/>
        <xdr:cNvGraphicFramePr/>
      </xdr:nvGraphicFramePr>
      <xdr:xfrm>
        <a:off x="7467480" y="45910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34</xdr:row>
      <xdr:rowOff>0</xdr:rowOff>
    </xdr:from>
    <xdr:to>
      <xdr:col>7</xdr:col>
      <xdr:colOff>959040</xdr:colOff>
      <xdr:row>49</xdr:row>
      <xdr:rowOff>22320</xdr:rowOff>
    </xdr:to>
    <xdr:graphicFrame>
      <xdr:nvGraphicFramePr>
        <xdr:cNvPr id="2" name="Chart 3"/>
        <xdr:cNvGraphicFramePr/>
      </xdr:nvGraphicFramePr>
      <xdr:xfrm>
        <a:off x="266760" y="78296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34</xdr:row>
      <xdr:rowOff>0</xdr:rowOff>
    </xdr:from>
    <xdr:to>
      <xdr:col>16</xdr:col>
      <xdr:colOff>959040</xdr:colOff>
      <xdr:row>49</xdr:row>
      <xdr:rowOff>22320</xdr:rowOff>
    </xdr:to>
    <xdr:graphicFrame>
      <xdr:nvGraphicFramePr>
        <xdr:cNvPr id="3" name="Chart 4"/>
        <xdr:cNvGraphicFramePr/>
      </xdr:nvGraphicFramePr>
      <xdr:xfrm>
        <a:off x="7467480" y="78296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0</xdr:rowOff>
    </xdr:from>
    <xdr:to>
      <xdr:col>11</xdr:col>
      <xdr:colOff>870120</xdr:colOff>
      <xdr:row>18</xdr:row>
      <xdr:rowOff>98280</xdr:rowOff>
    </xdr:to>
    <xdr:graphicFrame>
      <xdr:nvGraphicFramePr>
        <xdr:cNvPr id="4" name="Chart 1"/>
        <xdr:cNvGraphicFramePr/>
      </xdr:nvGraphicFramePr>
      <xdr:xfrm>
        <a:off x="9601200" y="1219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11</xdr:col>
      <xdr:colOff>870120</xdr:colOff>
      <xdr:row>35</xdr:row>
      <xdr:rowOff>22320</xdr:rowOff>
    </xdr:to>
    <xdr:graphicFrame>
      <xdr:nvGraphicFramePr>
        <xdr:cNvPr id="5" name="Chart 2"/>
        <xdr:cNvGraphicFramePr/>
      </xdr:nvGraphicFramePr>
      <xdr:xfrm>
        <a:off x="9601200" y="4381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36</xdr:row>
      <xdr:rowOff>0</xdr:rowOff>
    </xdr:from>
    <xdr:to>
      <xdr:col>11</xdr:col>
      <xdr:colOff>870120</xdr:colOff>
      <xdr:row>51</xdr:row>
      <xdr:rowOff>22320</xdr:rowOff>
    </xdr:to>
    <xdr:graphicFrame>
      <xdr:nvGraphicFramePr>
        <xdr:cNvPr id="6" name="Chart 3"/>
        <xdr:cNvGraphicFramePr/>
      </xdr:nvGraphicFramePr>
      <xdr:xfrm>
        <a:off x="9601200" y="7429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esa_Agil_Financeiro.xlsx" TargetMode="External"/><Relationship Id="rId2" Type="http://schemas.openxmlformats.org/officeDocument/2006/relationships/hyperlink" Target="Mesa_Agil_Financeiro.xlsx" TargetMode="External"/><Relationship Id="rId3" Type="http://schemas.openxmlformats.org/officeDocument/2006/relationships/hyperlink" Target="Mesa_Agil_Financeiro.xlsx" TargetMode="External"/><Relationship Id="rId4" Type="http://schemas.openxmlformats.org/officeDocument/2006/relationships/hyperlink" Target="Mesa_Agil_Financeiro.xlsx" TargetMode="External"/><Relationship Id="rId5" Type="http://schemas.openxmlformats.org/officeDocument/2006/relationships/hyperlink" Target="Mesa_Agil_Financeiro.xlsx" TargetMode="External"/><Relationship Id="rId6" Type="http://schemas.openxmlformats.org/officeDocument/2006/relationships/hyperlink" Target="Mesa_Agil_Financeiro.xlsx" TargetMode="External"/><Relationship Id="rId7" Type="http://schemas.openxmlformats.org/officeDocument/2006/relationships/hyperlink" Target="Mesa_Agil_Financeiro.xlsx" TargetMode="External"/><Relationship Id="rId8" Type="http://schemas.openxmlformats.org/officeDocument/2006/relationships/hyperlink" Target="Mesa_Agil_Financeiro.xlsx" TargetMode="External"/><Relationship Id="rId9" Type="http://schemas.openxmlformats.org/officeDocument/2006/relationships/hyperlink" Target="Mesa_Agil_Financeiro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esa_Agil_Financeiro.xlsx" TargetMode="External"/><Relationship Id="rId2" Type="http://schemas.openxmlformats.org/officeDocument/2006/relationships/hyperlink" Target="Mesa_Agil_Financeiro.xlsx" TargetMode="External"/><Relationship Id="rId3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esa_Agil_Financeiro.xlsx" TargetMode="External"/><Relationship Id="rId2" Type="http://schemas.openxmlformats.org/officeDocument/2006/relationships/hyperlink" Target="Mesa_Agil_Financeiro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esa_Agil_Financeiro.xlsx" TargetMode="External"/><Relationship Id="rId2" Type="http://schemas.openxmlformats.org/officeDocument/2006/relationships/hyperlink" Target="Mesa_Agil_Financeiro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Mesa_Agil_Financeiro.xlsx" TargetMode="External"/><Relationship Id="rId2" Type="http://schemas.openxmlformats.org/officeDocument/2006/relationships/hyperlink" Target="Mesa_Agil_Financeiro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esa_Agil_Financeiro.xlsx" TargetMode="External"/><Relationship Id="rId2" Type="http://schemas.openxmlformats.org/officeDocument/2006/relationships/hyperlink" Target="Mesa_Agil_Financeiro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Mesa_Agil_Financeiro.xlsx" TargetMode="External"/><Relationship Id="rId2" Type="http://schemas.openxmlformats.org/officeDocument/2006/relationships/hyperlink" Target="Mesa_Agil_Financeiro.xlsx" TargetMode="External"/><Relationship Id="rId3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Mesa_Agil_Financeiro.xlsx" TargetMode="External"/><Relationship Id="rId2" Type="http://schemas.openxmlformats.org/officeDocument/2006/relationships/hyperlink" Target="Mesa_Agil_Financeiro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171C"/>
    <pageSetUpPr fitToPage="true"/>
  </sheetPr>
  <dimension ref="A1:J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100"/>
    <col collapsed="false" customWidth="true" hidden="false" outlineLevel="0" max="4" min="4" style="0" width="18"/>
  </cols>
  <sheetData>
    <row r="1" customFormat="false" ht="24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42" hidden="false" customHeight="true" outlineLevel="0" collapsed="false">
      <c r="A2" s="1"/>
      <c r="B2" s="2" t="s">
        <v>0</v>
      </c>
      <c r="C2" s="2"/>
      <c r="D2" s="3" t="s">
        <v>1</v>
      </c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33.75" hidden="false" customHeight="true" outlineLevel="0" collapsed="false">
      <c r="A4" s="1"/>
      <c r="B4" s="4" t="s">
        <v>2</v>
      </c>
      <c r="C4" s="5" t="s">
        <v>3</v>
      </c>
      <c r="D4" s="6" t="s">
        <v>4</v>
      </c>
      <c r="E4" s="1"/>
      <c r="F4" s="1"/>
      <c r="G4" s="1"/>
      <c r="H4" s="1"/>
      <c r="I4" s="1"/>
      <c r="J4" s="1"/>
    </row>
    <row r="5" customFormat="false" ht="33.75" hidden="false" customHeight="true" outlineLevel="0" collapsed="false">
      <c r="A5" s="1"/>
      <c r="B5" s="4" t="s">
        <v>5</v>
      </c>
      <c r="C5" s="5" t="s">
        <v>6</v>
      </c>
      <c r="D5" s="6" t="s">
        <v>4</v>
      </c>
      <c r="E5" s="1"/>
      <c r="F5" s="1"/>
      <c r="G5" s="1"/>
      <c r="H5" s="1"/>
      <c r="I5" s="1"/>
      <c r="J5" s="1"/>
    </row>
    <row r="6" customFormat="false" ht="33.75" hidden="false" customHeight="true" outlineLevel="0" collapsed="false">
      <c r="A6" s="1"/>
      <c r="B6" s="4" t="s">
        <v>7</v>
      </c>
      <c r="C6" s="5" t="s">
        <v>8</v>
      </c>
      <c r="D6" s="6" t="s">
        <v>4</v>
      </c>
      <c r="E6" s="1"/>
      <c r="F6" s="1"/>
      <c r="G6" s="1"/>
      <c r="H6" s="1"/>
      <c r="I6" s="1"/>
      <c r="J6" s="1"/>
    </row>
    <row r="7" customFormat="false" ht="33.75" hidden="false" customHeight="true" outlineLevel="0" collapsed="false">
      <c r="A7" s="1"/>
      <c r="B7" s="4" t="s">
        <v>9</v>
      </c>
      <c r="C7" s="5" t="s">
        <v>10</v>
      </c>
      <c r="D7" s="6" t="s">
        <v>4</v>
      </c>
      <c r="E7" s="1"/>
      <c r="F7" s="1"/>
      <c r="G7" s="1"/>
      <c r="H7" s="1"/>
      <c r="I7" s="1"/>
      <c r="J7" s="1"/>
    </row>
    <row r="8" customFormat="false" ht="33.75" hidden="false" customHeight="true" outlineLevel="0" collapsed="false">
      <c r="A8" s="1"/>
      <c r="B8" s="4" t="s">
        <v>11</v>
      </c>
      <c r="C8" s="5" t="s">
        <v>12</v>
      </c>
      <c r="D8" s="6" t="s">
        <v>4</v>
      </c>
      <c r="E8" s="1"/>
      <c r="F8" s="1"/>
      <c r="G8" s="1"/>
      <c r="H8" s="1"/>
      <c r="I8" s="1"/>
      <c r="J8" s="1"/>
    </row>
    <row r="9" customFormat="false" ht="33.75" hidden="false" customHeight="true" outlineLevel="0" collapsed="false">
      <c r="A9" s="1"/>
      <c r="B9" s="4" t="s">
        <v>13</v>
      </c>
      <c r="C9" s="5" t="s">
        <v>14</v>
      </c>
      <c r="D9" s="6" t="s">
        <v>4</v>
      </c>
      <c r="E9" s="1"/>
      <c r="F9" s="1"/>
      <c r="G9" s="1"/>
      <c r="H9" s="1"/>
      <c r="I9" s="1"/>
      <c r="J9" s="1"/>
    </row>
    <row r="10" customFormat="false" ht="33.75" hidden="false" customHeight="true" outlineLevel="0" collapsed="false">
      <c r="A10" s="1"/>
      <c r="B10" s="4" t="s">
        <v>15</v>
      </c>
      <c r="C10" s="5" t="s">
        <v>16</v>
      </c>
      <c r="D10" s="6" t="s">
        <v>4</v>
      </c>
      <c r="E10" s="1"/>
      <c r="F10" s="1"/>
      <c r="G10" s="1"/>
      <c r="H10" s="1"/>
      <c r="I10" s="1"/>
      <c r="J10" s="1"/>
    </row>
    <row r="11" customFormat="false" ht="33.75" hidden="false" customHeight="true" outlineLevel="0" collapsed="false">
      <c r="A11" s="1"/>
      <c r="B11" s="4" t="s">
        <v>17</v>
      </c>
      <c r="C11" s="5" t="s">
        <v>18</v>
      </c>
      <c r="D11" s="6" t="s">
        <v>4</v>
      </c>
      <c r="E11" s="1"/>
      <c r="F11" s="1"/>
      <c r="G11" s="1"/>
      <c r="H11" s="1"/>
      <c r="I11" s="1"/>
      <c r="J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customFormat="false" ht="30" hidden="false" customHeight="true" outlineLevel="0" collapsed="false">
      <c r="A13" s="1"/>
      <c r="B13" s="7" t="s">
        <v>19</v>
      </c>
      <c r="C13" s="8" t="s">
        <v>20</v>
      </c>
      <c r="D13" s="1"/>
      <c r="E13" s="1"/>
      <c r="F13" s="1"/>
      <c r="G13" s="1"/>
      <c r="H13" s="1"/>
      <c r="I13" s="1"/>
      <c r="J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customFormat="false" ht="30" hidden="false" customHeight="true" outlineLevel="0" collapsed="false">
      <c r="A15" s="1"/>
      <c r="B15" s="9" t="s">
        <v>21</v>
      </c>
      <c r="C15" s="8" t="s">
        <v>22</v>
      </c>
      <c r="D15" s="1"/>
      <c r="E15" s="1"/>
      <c r="F15" s="1"/>
      <c r="G15" s="1"/>
      <c r="H15" s="1"/>
      <c r="I15" s="1"/>
      <c r="J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customFormat="false" ht="42" hidden="false" customHeight="true" outlineLevel="0" collapsed="false">
      <c r="A17" s="1"/>
      <c r="B17" s="9" t="s">
        <v>23</v>
      </c>
      <c r="C17" s="8" t="s">
        <v>24</v>
      </c>
      <c r="D17" s="1"/>
      <c r="E17" s="1"/>
      <c r="F17" s="1"/>
      <c r="G17" s="1"/>
      <c r="H17" s="1"/>
      <c r="I17" s="1"/>
      <c r="J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customFormat="false" ht="15" hidden="false" customHeight="false" outlineLevel="0" collapsed="false">
      <c r="A19" s="1"/>
      <c r="B19" s="1"/>
      <c r="C19" s="10" t="s">
        <v>25</v>
      </c>
      <c r="D19" s="1"/>
      <c r="E19" s="1"/>
      <c r="F19" s="1"/>
      <c r="G19" s="1"/>
      <c r="H19" s="1"/>
      <c r="I19" s="1"/>
      <c r="J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</sheetData>
  <mergeCells count="1">
    <mergeCell ref="B2:C2"/>
  </mergeCells>
  <hyperlinks>
    <hyperlink ref="D2" r:id="rId1" location="'Dashboard'!A1" display="▦ DASHBOARD →"/>
    <hyperlink ref="D4" r:id="rId2" location="'Premissas'!A1" display="ABRIR  →"/>
    <hyperlink ref="D5" r:id="rId3" location="'Premissas'!A1" display="ABRIR  →"/>
    <hyperlink ref="D6" r:id="rId4" location="'Projeção%2024%20meses'!A1" display="ABRIR  →"/>
    <hyperlink ref="D7" r:id="rId5" location="'Fluxo%20de%20Caixa'!A1" display="ABRIR  →"/>
    <hyperlink ref="D8" r:id="rId6" location="'Unit%20Economics'!A1" display="ABRIR  →"/>
    <hyperlink ref="D9" r:id="rId7" location="'Cenários'!A1" display="ABRIR  →"/>
    <hyperlink ref="D10" r:id="rId8" location="'Dashboard'!A1" display="ABRIR  →"/>
    <hyperlink ref="D11" r:id="rId9" location="'Motor%20Cenários'!A1" display="ABRIR 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171C"/>
    <pageSetUpPr fitToPage="true"/>
  </sheetPr>
  <dimension ref="A1:AB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2"/>
    <col collapsed="false" customWidth="true" hidden="false" outlineLevel="0" max="4" min="4" style="0" width="3"/>
    <col collapsed="false" customWidth="true" hidden="false" outlineLevel="0" max="6" min="5" style="0" width="12"/>
    <col collapsed="false" customWidth="true" hidden="false" outlineLevel="0" max="7" min="7" style="0" width="3"/>
    <col collapsed="false" customWidth="true" hidden="false" outlineLevel="0" max="9" min="8" style="0" width="12"/>
    <col collapsed="false" customWidth="true" hidden="false" outlineLevel="0" max="10" min="10" style="0" width="3"/>
    <col collapsed="false" customWidth="true" hidden="false" outlineLevel="0" max="12" min="11" style="0" width="12"/>
    <col collapsed="false" customWidth="true" hidden="false" outlineLevel="0" max="13" min="13" style="0" width="3"/>
    <col collapsed="false" customWidth="true" hidden="false" outlineLevel="0" max="15" min="14" style="0" width="12"/>
    <col collapsed="false" customWidth="true" hidden="false" outlineLevel="0" max="16" min="16" style="0" width="3"/>
    <col collapsed="false" customWidth="true" hidden="false" outlineLevel="0" max="18" min="17" style="0" width="12"/>
    <col collapsed="false" customWidth="true" hidden="true" outlineLevel="0" max="22" min="22" style="0" width="13"/>
  </cols>
  <sheetData>
    <row r="1" customFormat="false" ht="24" hidden="false" customHeight="true" outlineLevel="0" collapsed="false">
      <c r="A1" s="1"/>
      <c r="B1" s="6" t="s">
        <v>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42" hidden="false" customHeight="true" outlineLevel="0" collapsed="false">
      <c r="A2" s="1"/>
      <c r="B2" s="11" t="str">
        <f aca="false">"DASHBOARD  ·  "&amp;UPPER(Premissas!$C$6)&amp;"  ·  CENÁRIO "&amp;UPPER(Premissas!$C$9)</f>
        <v>DASHBOARD  ·  MESA ÁGIL  ·  CENÁRIO REALISTA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"/>
      <c r="T2" s="1"/>
      <c r="U2" s="1"/>
      <c r="V2" s="1"/>
      <c r="W2" s="1"/>
      <c r="X2" s="1"/>
      <c r="Y2" s="1"/>
      <c r="Z2" s="1"/>
      <c r="AA2" s="1"/>
      <c r="AB2" s="1"/>
    </row>
    <row r="3" customFormat="false" ht="15" hidden="false" customHeight="false" outlineLevel="0" collapsed="false">
      <c r="A3" s="1"/>
      <c r="B3" s="10" t="s">
        <v>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2" t="s">
        <v>28</v>
      </c>
      <c r="R3" s="12"/>
      <c r="S3" s="1"/>
      <c r="T3" s="1"/>
      <c r="U3" s="1"/>
      <c r="V3" s="1"/>
      <c r="W3" s="1"/>
      <c r="X3" s="1"/>
      <c r="Y3" s="1"/>
      <c r="Z3" s="1"/>
      <c r="AA3" s="1"/>
      <c r="AB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customFormat="false" ht="15" hidden="false" customHeight="false" outlineLevel="0" collapsed="false">
      <c r="A5" s="1"/>
      <c r="B5" s="13" t="s">
        <v>29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customFormat="false" ht="21.75" hidden="false" customHeight="true" outlineLevel="0" collapsed="false">
      <c r="A6" s="1"/>
      <c r="B6" s="14" t="s">
        <v>30</v>
      </c>
      <c r="C6" s="14"/>
      <c r="D6" s="1"/>
      <c r="E6" s="14" t="s">
        <v>31</v>
      </c>
      <c r="F6" s="14"/>
      <c r="G6" s="1"/>
      <c r="H6" s="14" t="s">
        <v>32</v>
      </c>
      <c r="I6" s="14"/>
      <c r="J6" s="1"/>
      <c r="K6" s="14" t="s">
        <v>33</v>
      </c>
      <c r="L6" s="14"/>
      <c r="M6" s="1"/>
      <c r="N6" s="14" t="s">
        <v>34</v>
      </c>
      <c r="O6" s="14"/>
      <c r="P6" s="1"/>
      <c r="Q6" s="14" t="s">
        <v>35</v>
      </c>
      <c r="R6" s="14"/>
      <c r="S6" s="1"/>
      <c r="T6" s="1"/>
      <c r="U6" s="1"/>
      <c r="V6" s="1"/>
      <c r="W6" s="1"/>
      <c r="X6" s="1"/>
      <c r="Y6" s="1"/>
      <c r="Z6" s="1"/>
      <c r="AA6" s="1"/>
      <c r="AB6" s="1"/>
    </row>
    <row r="7" customFormat="false" ht="31.5" hidden="false" customHeight="true" outlineLevel="0" collapsed="false">
      <c r="A7" s="1"/>
      <c r="B7" s="15" t="n">
        <f aca="false">'Projeção 24 meses'!$G$29</f>
        <v>338.018630057741</v>
      </c>
      <c r="C7" s="15"/>
      <c r="D7" s="1"/>
      <c r="E7" s="16" t="n">
        <f aca="false">'Projeção 24 meses'!$L$29</f>
        <v>21200.2815542535</v>
      </c>
      <c r="F7" s="16"/>
      <c r="G7" s="1"/>
      <c r="H7" s="16" t="n">
        <f aca="false">'Projeção 24 meses'!$M$29</f>
        <v>254403.378651042</v>
      </c>
      <c r="I7" s="16"/>
      <c r="J7" s="1"/>
      <c r="K7" s="16" t="n">
        <f aca="false">'Projeção 24 meses'!$X$29</f>
        <v>12304.6038736112</v>
      </c>
      <c r="L7" s="16"/>
      <c r="M7" s="1"/>
      <c r="N7" s="17" t="n">
        <f aca="false">'Unit Economics'!$K$18</f>
        <v>10.5052232030285</v>
      </c>
      <c r="O7" s="17"/>
      <c r="P7" s="1"/>
      <c r="Q7" s="18" t="n">
        <f aca="false">'Unit Economics'!$L$18</f>
        <v>2.07688893386786</v>
      </c>
      <c r="R7" s="18"/>
      <c r="S7" s="1"/>
      <c r="T7" s="1"/>
      <c r="U7" s="1"/>
      <c r="V7" s="1"/>
      <c r="W7" s="1"/>
      <c r="X7" s="1"/>
      <c r="Y7" s="1"/>
      <c r="Z7" s="1"/>
      <c r="AA7" s="1"/>
      <c r="AB7" s="1"/>
    </row>
    <row r="8" customFormat="false" ht="19.5" hidden="false" customHeight="true" outlineLevel="0" collapsed="false">
      <c r="A8" s="1"/>
      <c r="B8" s="19" t="s">
        <v>36</v>
      </c>
      <c r="C8" s="19"/>
      <c r="D8" s="1"/>
      <c r="E8" s="20" t="n">
        <f aca="false">'Projeção 24 meses'!$L$17</f>
        <v>7530.49078903005</v>
      </c>
      <c r="F8" s="20"/>
      <c r="G8" s="1"/>
      <c r="H8" s="19" t="s">
        <v>37</v>
      </c>
      <c r="I8" s="19"/>
      <c r="J8" s="1"/>
      <c r="K8" s="19" t="s">
        <v>36</v>
      </c>
      <c r="L8" s="19"/>
      <c r="M8" s="1"/>
      <c r="N8" s="19" t="s">
        <v>38</v>
      </c>
      <c r="O8" s="19"/>
      <c r="P8" s="1"/>
      <c r="Q8" s="19" t="s">
        <v>39</v>
      </c>
      <c r="R8" s="19"/>
      <c r="S8" s="1"/>
      <c r="T8" s="1"/>
      <c r="U8" s="1"/>
      <c r="V8" s="1"/>
      <c r="W8" s="1"/>
      <c r="X8" s="1"/>
      <c r="Y8" s="1"/>
      <c r="Z8" s="1"/>
      <c r="AA8" s="1"/>
      <c r="AB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customFormat="false" ht="21.75" hidden="false" customHeight="true" outlineLevel="0" collapsed="false">
      <c r="A10" s="1"/>
      <c r="B10" s="14" t="s">
        <v>40</v>
      </c>
      <c r="C10" s="14"/>
      <c r="D10" s="1"/>
      <c r="E10" s="14" t="s">
        <v>41</v>
      </c>
      <c r="F10" s="14"/>
      <c r="G10" s="1"/>
      <c r="H10" s="14" t="s">
        <v>42</v>
      </c>
      <c r="I10" s="14"/>
      <c r="J10" s="1"/>
      <c r="K10" s="14" t="s">
        <v>43</v>
      </c>
      <c r="L10" s="14"/>
      <c r="M10" s="1"/>
      <c r="N10" s="14" t="s">
        <v>44</v>
      </c>
      <c r="O10" s="14"/>
      <c r="P10" s="1"/>
      <c r="Q10" s="14" t="s">
        <v>45</v>
      </c>
      <c r="R10" s="14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customFormat="false" ht="31.5" hidden="false" customHeight="true" outlineLevel="0" collapsed="false">
      <c r="A11" s="1"/>
      <c r="B11" s="21" t="n">
        <f aca="false">'Projeção 24 meses'!$N$29</f>
        <v>62.7192694989386</v>
      </c>
      <c r="C11" s="21"/>
      <c r="D11" s="1"/>
      <c r="E11" s="22" t="n">
        <f aca="false">'Projeção 24 meses'!$S$29</f>
        <v>0.890909350679567</v>
      </c>
      <c r="F11" s="22"/>
      <c r="G11" s="1"/>
      <c r="H11" s="23" t="n">
        <f aca="false">'Unit Economics'!$C$33</f>
        <v>61</v>
      </c>
      <c r="I11" s="23"/>
      <c r="J11" s="1"/>
      <c r="K11" s="24" t="n">
        <f aca="false">'Unit Economics'!$C$36</f>
        <v>46600</v>
      </c>
      <c r="L11" s="24"/>
      <c r="M11" s="1"/>
      <c r="N11" s="16" t="n">
        <f aca="false">'Projeção 24 meses'!$Y$29</f>
        <v>62578.9157205643</v>
      </c>
      <c r="O11" s="16"/>
      <c r="P11" s="1"/>
      <c r="Q11" s="16" t="n">
        <f aca="false">'Fluxo de Caixa'!$G$34</f>
        <v>-9905.45448501427</v>
      </c>
      <c r="R11" s="16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customFormat="false" ht="19.5" hidden="false" customHeight="true" outlineLevel="0" collapsed="false">
      <c r="A12" s="1"/>
      <c r="B12" s="19" t="s">
        <v>46</v>
      </c>
      <c r="C12" s="19"/>
      <c r="D12" s="1"/>
      <c r="E12" s="19" t="s">
        <v>47</v>
      </c>
      <c r="F12" s="19"/>
      <c r="G12" s="1"/>
      <c r="H12" s="19" t="s">
        <v>48</v>
      </c>
      <c r="I12" s="19"/>
      <c r="J12" s="1"/>
      <c r="K12" s="19" t="s">
        <v>49</v>
      </c>
      <c r="L12" s="19"/>
      <c r="M12" s="1"/>
      <c r="N12" s="19" t="s">
        <v>50</v>
      </c>
      <c r="O12" s="19"/>
      <c r="P12" s="1"/>
      <c r="Q12" s="19" t="s">
        <v>51</v>
      </c>
      <c r="R12" s="19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customFormat="false" ht="15" hidden="false" customHeight="false" outlineLevel="0" collapsed="false">
      <c r="A14" s="1"/>
      <c r="B14" s="13" t="s">
        <v>52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customFormat="false" ht="30" hidden="false" customHeight="true" outlineLevel="0" collapsed="false">
      <c r="A15" s="1"/>
      <c r="B15" s="25" t="s">
        <v>53</v>
      </c>
      <c r="C15" s="25"/>
      <c r="D15" s="25"/>
      <c r="E15" s="25"/>
      <c r="F15" s="25"/>
      <c r="G15" s="25"/>
      <c r="H15" s="26" t="str">
        <f aca="false">REPT("█",ROUND(MIN(1,MAX(0,N(O15)))*30,0))&amp;REPT("░",30-ROUND(MIN(1,MAX(0,N(O15)))*30,0))</f>
        <v>██████████████████████████████</v>
      </c>
      <c r="I15" s="26"/>
      <c r="J15" s="26"/>
      <c r="K15" s="26"/>
      <c r="L15" s="26"/>
      <c r="M15" s="26"/>
      <c r="N15" s="26"/>
      <c r="O15" s="27" t="n">
        <f aca="false">IFERROR('Unit Economics'!$C$35/'Unit Economics'!$C$33,0)</f>
        <v>5.54128901734002</v>
      </c>
      <c r="P15" s="28" t="n">
        <f aca="false">'Unit Economics'!$C$33</f>
        <v>61</v>
      </c>
      <c r="Q15" s="28"/>
      <c r="R15" s="28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customFormat="false" ht="15" hidden="false" customHeight="false" outlineLevel="0" collapsed="false">
      <c r="A17" s="1"/>
      <c r="B17" s="13" t="s">
        <v>54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customFormat="false" ht="15" hidden="false" customHeight="false" outlineLevel="0" collapsed="false">
      <c r="A52" s="1"/>
      <c r="B52" s="13" t="s">
        <v>55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customFormat="false" ht="25.5" hidden="false" customHeight="true" outlineLevel="0" collapsed="false">
      <c r="A53" s="1"/>
      <c r="B53" s="29" t="str">
        <f aca="false">IF(V53,"✖   LTV/CAC abaixo de 3x — o cliente devolve pouco do que custa","✔   LTV/CAC saudável (3x ou mais)")</f>
        <v>✔   LTV/CAC saudável (3x ou mais)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1"/>
      <c r="T53" s="1"/>
      <c r="U53" s="1"/>
      <c r="V53" s="30" t="b">
        <f aca="false">'Unit Economics'!$K$18&lt;3</f>
        <v>0</v>
      </c>
      <c r="W53" s="1"/>
      <c r="X53" s="1"/>
      <c r="Y53" s="1"/>
      <c r="Z53" s="1"/>
      <c r="AA53" s="1"/>
      <c r="AB53" s="1"/>
    </row>
    <row r="54" customFormat="false" ht="25.5" hidden="false" customHeight="true" outlineLevel="0" collapsed="false">
      <c r="A54" s="1"/>
      <c r="B54" s="29" t="str">
        <f aca="false">IF(V54,"✖   Payback do CAC acima de 12 meses","✔   Payback do CAC em até 12 meses")</f>
        <v>✔   Payback do CAC em até 12 meses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1"/>
      <c r="T54" s="1"/>
      <c r="U54" s="1"/>
      <c r="V54" s="30" t="b">
        <f aca="false">'Unit Economics'!$L$18&gt;12</f>
        <v>0</v>
      </c>
      <c r="W54" s="1"/>
      <c r="X54" s="1"/>
      <c r="Y54" s="1"/>
      <c r="Z54" s="1"/>
      <c r="AA54" s="1"/>
      <c r="AB54" s="1"/>
    </row>
    <row r="55" customFormat="false" ht="25.5" hidden="false" customHeight="true" outlineLevel="0" collapsed="false">
      <c r="A55" s="1"/>
      <c r="B55" s="29" t="str">
        <f aca="false">IF(V55,"✖   O caixa fica negativo em algum mês — é preciso capital inicial","✔   O caixa nunca fica negativo")</f>
        <v>✖   O caixa fica negativo em algum mês — é preciso capital inicial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1"/>
      <c r="T55" s="1"/>
      <c r="U55" s="1"/>
      <c r="V55" s="30" t="b">
        <f aca="false">'Fluxo de Caixa'!$G$34&lt;0</f>
        <v>1</v>
      </c>
      <c r="W55" s="1"/>
      <c r="X55" s="1"/>
      <c r="Y55" s="1"/>
      <c r="Z55" s="1"/>
      <c r="AA55" s="1"/>
      <c r="AB55" s="1"/>
    </row>
    <row r="56" customFormat="false" ht="25.5" hidden="false" customHeight="true" outlineLevel="0" collapsed="false">
      <c r="A56" s="1"/>
      <c r="B56" s="29" t="str">
        <f aca="false">IF(V56,"✖   Ainda dá prejuízo no mês 24","✔   Operação lucrativa no mês 24")</f>
        <v>✔   Operação lucrativa no mês 24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1"/>
      <c r="T56" s="1"/>
      <c r="U56" s="1"/>
      <c r="V56" s="30" t="b">
        <f aca="false">'Projeção 24 meses'!$X$29&lt;0</f>
        <v>0</v>
      </c>
      <c r="W56" s="1"/>
      <c r="X56" s="1"/>
      <c r="Y56" s="1"/>
      <c r="Z56" s="1"/>
      <c r="AA56" s="1"/>
      <c r="AB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</sheetData>
  <mergeCells count="45">
    <mergeCell ref="B2:R2"/>
    <mergeCell ref="Q3:R3"/>
    <mergeCell ref="B6:C6"/>
    <mergeCell ref="E6:F6"/>
    <mergeCell ref="H6:I6"/>
    <mergeCell ref="K6:L6"/>
    <mergeCell ref="N6:O6"/>
    <mergeCell ref="Q6:R6"/>
    <mergeCell ref="B7:C7"/>
    <mergeCell ref="E7:F7"/>
    <mergeCell ref="H7:I7"/>
    <mergeCell ref="K7:L7"/>
    <mergeCell ref="N7:O7"/>
    <mergeCell ref="Q7:R7"/>
    <mergeCell ref="B8:C8"/>
    <mergeCell ref="E8:F8"/>
    <mergeCell ref="H8:I8"/>
    <mergeCell ref="K8:L8"/>
    <mergeCell ref="N8:O8"/>
    <mergeCell ref="Q8:R8"/>
    <mergeCell ref="B10:C10"/>
    <mergeCell ref="E10:F10"/>
    <mergeCell ref="H10:I10"/>
    <mergeCell ref="K10:L10"/>
    <mergeCell ref="N10:O10"/>
    <mergeCell ref="Q10:R10"/>
    <mergeCell ref="B11:C11"/>
    <mergeCell ref="E11:F11"/>
    <mergeCell ref="H11:I11"/>
    <mergeCell ref="K11:L11"/>
    <mergeCell ref="N11:O11"/>
    <mergeCell ref="Q11:R11"/>
    <mergeCell ref="B12:C12"/>
    <mergeCell ref="E12:F12"/>
    <mergeCell ref="H12:I12"/>
    <mergeCell ref="K12:L12"/>
    <mergeCell ref="N12:O12"/>
    <mergeCell ref="Q12:R12"/>
    <mergeCell ref="B15:G15"/>
    <mergeCell ref="H15:N15"/>
    <mergeCell ref="P15:R15"/>
    <mergeCell ref="B53:R53"/>
    <mergeCell ref="B54:R54"/>
    <mergeCell ref="B55:R55"/>
    <mergeCell ref="B56:R56"/>
  </mergeCells>
  <conditionalFormatting sqref="K7">
    <cfRule type="expression" priority="2" aboveAverage="0" equalAverage="0" bottom="0" percent="0" rank="0" text="" dxfId="0">
      <formula>AND(ISNUMBER(K7),K7&lt;0)</formula>
    </cfRule>
  </conditionalFormatting>
  <conditionalFormatting sqref="N7">
    <cfRule type="expression" priority="3" aboveAverage="0" equalAverage="0" bottom="0" percent="0" rank="0" text="" dxfId="1">
      <formula>AND(ISNUMBER(N7),N7&gt;=3)</formula>
    </cfRule>
    <cfRule type="expression" priority="4" aboveAverage="0" equalAverage="0" bottom="0" percent="0" rank="0" text="" dxfId="0">
      <formula>AND(ISNUMBER(N7),N7&lt;1)</formula>
    </cfRule>
  </conditionalFormatting>
  <conditionalFormatting sqref="N11">
    <cfRule type="expression" priority="5" aboveAverage="0" equalAverage="0" bottom="0" percent="0" rank="0" text="" dxfId="0">
      <formula>AND(ISNUMBER(N11),N11&lt;0)</formula>
    </cfRule>
  </conditionalFormatting>
  <conditionalFormatting sqref="Q11">
    <cfRule type="expression" priority="6" aboveAverage="0" equalAverage="0" bottom="0" percent="0" rank="0" text="" dxfId="0">
      <formula>AND(ISNUMBER(Q11),Q11&lt;0)</formula>
    </cfRule>
  </conditionalFormatting>
  <conditionalFormatting sqref="H15">
    <cfRule type="expression" priority="7" aboveAverage="0" equalAverage="0" bottom="0" percent="0" rank="0" text="" dxfId="1">
      <formula>$O$15&gt;=1</formula>
    </cfRule>
    <cfRule type="expression" priority="8" aboveAverage="0" equalAverage="0" bottom="0" percent="0" rank="0" text="" dxfId="2">
      <formula>$O$15&lt;1</formula>
    </cfRule>
  </conditionalFormatting>
  <conditionalFormatting sqref="O15">
    <cfRule type="expression" priority="9" aboveAverage="0" equalAverage="0" bottom="0" percent="0" rank="0" text="" dxfId="1">
      <formula>$O$15&gt;=1</formula>
    </cfRule>
  </conditionalFormatting>
  <conditionalFormatting sqref="B53:R53">
    <cfRule type="expression" priority="10" aboveAverage="0" equalAverage="0" bottom="0" percent="0" rank="0" text="" dxfId="3">
      <formula>$V$53</formula>
    </cfRule>
    <cfRule type="expression" priority="11" aboveAverage="0" equalAverage="0" bottom="0" percent="0" rank="0" text="" dxfId="4">
      <formula>NOT($V$53)</formula>
    </cfRule>
  </conditionalFormatting>
  <conditionalFormatting sqref="B54:R54">
    <cfRule type="expression" priority="12" aboveAverage="0" equalAverage="0" bottom="0" percent="0" rank="0" text="" dxfId="3">
      <formula>$V$54</formula>
    </cfRule>
    <cfRule type="expression" priority="13" aboveAverage="0" equalAverage="0" bottom="0" percent="0" rank="0" text="" dxfId="4">
      <formula>NOT($V$54)</formula>
    </cfRule>
  </conditionalFormatting>
  <conditionalFormatting sqref="B55:R55">
    <cfRule type="expression" priority="14" aboveAverage="0" equalAverage="0" bottom="0" percent="0" rank="0" text="" dxfId="3">
      <formula>$V$55</formula>
    </cfRule>
    <cfRule type="expression" priority="15" aboveAverage="0" equalAverage="0" bottom="0" percent="0" rank="0" text="" dxfId="4">
      <formula>NOT($V$55)</formula>
    </cfRule>
  </conditionalFormatting>
  <conditionalFormatting sqref="B56:R56">
    <cfRule type="expression" priority="16" aboveAverage="0" equalAverage="0" bottom="0" percent="0" rank="0" text="" dxfId="3">
      <formula>$V$56</formula>
    </cfRule>
    <cfRule type="expression" priority="17" aboveAverage="0" equalAverage="0" bottom="0" percent="0" rank="0" text="" dxfId="4">
      <formula>NOT($V$56)</formula>
    </cfRule>
  </conditionalFormatting>
  <hyperlinks>
    <hyperlink ref="B1" r:id="rId1" location="'Comece%20Aqui'!A1" display="⌂  Início"/>
    <hyperlink ref="Q3" r:id="rId2" location="'Premissas'!C9" display="Premissas 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A800"/>
    <pageSetUpPr fitToPage="true"/>
  </sheetPr>
  <dimension ref="A1:M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6" min="3" style="0" width="15"/>
    <col collapsed="false" customWidth="true" hidden="false" outlineLevel="0" max="7" min="7" style="0" width="60"/>
  </cols>
  <sheetData>
    <row r="1" customFormat="false" ht="24" hidden="false" customHeight="true" outlineLevel="0" collapsed="false">
      <c r="A1" s="1"/>
      <c r="B1" s="6" t="s">
        <v>26</v>
      </c>
      <c r="C1" s="6" t="s">
        <v>56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42" hidden="false" customHeight="true" outlineLevel="0" collapsed="false">
      <c r="A2" s="1"/>
      <c r="B2" s="2" t="s">
        <v>57</v>
      </c>
      <c r="C2" s="2"/>
      <c r="D2" s="2"/>
      <c r="E2" s="2"/>
      <c r="F2" s="2"/>
      <c r="G2" s="2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1"/>
      <c r="B3" s="10" t="s">
        <v>58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15" hidden="false" customHeight="false" outlineLevel="0" collapsed="false">
      <c r="A5" s="1"/>
      <c r="B5" s="13" t="s">
        <v>59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15" hidden="false" customHeight="false" outlineLevel="0" collapsed="false">
      <c r="A6" s="1"/>
      <c r="B6" s="31" t="s">
        <v>60</v>
      </c>
      <c r="C6" s="32" t="s">
        <v>61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customFormat="false" ht="15" hidden="false" customHeight="false" outlineLevel="0" collapsed="false">
      <c r="A7" s="1"/>
      <c r="B7" s="31" t="s">
        <v>62</v>
      </c>
      <c r="C7" s="33" t="n">
        <v>46296</v>
      </c>
      <c r="D7" s="10" t="s">
        <v>63</v>
      </c>
      <c r="E7" s="1"/>
      <c r="F7" s="1"/>
      <c r="G7" s="1"/>
      <c r="H7" s="1"/>
      <c r="I7" s="1"/>
      <c r="J7" s="1"/>
      <c r="K7" s="1"/>
      <c r="L7" s="1"/>
      <c r="M7" s="1"/>
    </row>
    <row r="8" customFormat="false" ht="15" hidden="false" customHeight="false" outlineLevel="0" collapsed="false">
      <c r="A8" s="1"/>
      <c r="B8" s="31" t="s">
        <v>64</v>
      </c>
      <c r="C8" s="34" t="n">
        <v>0</v>
      </c>
      <c r="D8" s="10" t="s">
        <v>65</v>
      </c>
      <c r="E8" s="1"/>
      <c r="F8" s="1"/>
      <c r="G8" s="1"/>
      <c r="H8" s="1"/>
      <c r="I8" s="1"/>
      <c r="J8" s="1"/>
      <c r="K8" s="1"/>
      <c r="L8" s="1"/>
      <c r="M8" s="1"/>
    </row>
    <row r="9" customFormat="false" ht="15" hidden="false" customHeight="false" outlineLevel="0" collapsed="false">
      <c r="A9" s="1"/>
      <c r="B9" s="35" t="s">
        <v>66</v>
      </c>
      <c r="C9" s="36" t="s">
        <v>67</v>
      </c>
      <c r="D9" s="10" t="s">
        <v>68</v>
      </c>
      <c r="E9" s="1"/>
      <c r="F9" s="1"/>
      <c r="G9" s="1"/>
      <c r="H9" s="1"/>
      <c r="I9" s="1"/>
      <c r="J9" s="1"/>
      <c r="K9" s="1"/>
      <c r="L9" s="1"/>
      <c r="M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customFormat="false" ht="15" hidden="false" customHeight="false" outlineLevel="0" collapsed="false">
      <c r="A11" s="1"/>
      <c r="B11" s="13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customFormat="false" ht="30" hidden="false" customHeight="true" outlineLevel="0" collapsed="false">
      <c r="A12" s="1"/>
      <c r="B12" s="37" t="s">
        <v>70</v>
      </c>
      <c r="C12" s="37" t="s">
        <v>71</v>
      </c>
      <c r="D12" s="37" t="s">
        <v>72</v>
      </c>
      <c r="E12" s="37" t="s">
        <v>73</v>
      </c>
      <c r="F12" s="37" t="s">
        <v>74</v>
      </c>
      <c r="G12" s="37" t="s">
        <v>75</v>
      </c>
      <c r="H12" s="1"/>
      <c r="I12" s="1"/>
      <c r="J12" s="1"/>
      <c r="K12" s="1"/>
      <c r="L12" s="1"/>
      <c r="M12" s="1"/>
    </row>
    <row r="13" customFormat="false" ht="25.5" hidden="false" customHeight="true" outlineLevel="0" collapsed="false">
      <c r="A13" s="1"/>
      <c r="B13" s="38" t="s">
        <v>76</v>
      </c>
      <c r="C13" s="34" t="n">
        <v>57.9</v>
      </c>
      <c r="D13" s="39" t="n">
        <v>0.15</v>
      </c>
      <c r="E13" s="40" t="n">
        <f aca="false">C13*(1-D13)</f>
        <v>49.215</v>
      </c>
      <c r="F13" s="40" t="n">
        <f aca="false">ROUND(E13*12,2)</f>
        <v>590.58</v>
      </c>
      <c r="G13" s="8" t="s">
        <v>77</v>
      </c>
      <c r="H13" s="1"/>
      <c r="I13" s="1"/>
      <c r="J13" s="1"/>
      <c r="K13" s="1"/>
      <c r="L13" s="1"/>
      <c r="M13" s="1"/>
    </row>
    <row r="14" customFormat="false" ht="25.5" hidden="false" customHeight="true" outlineLevel="0" collapsed="false">
      <c r="A14" s="1"/>
      <c r="B14" s="38" t="s">
        <v>78</v>
      </c>
      <c r="C14" s="34" t="n">
        <v>87.9</v>
      </c>
      <c r="D14" s="39" t="n">
        <v>0.2</v>
      </c>
      <c r="E14" s="40" t="n">
        <f aca="false">C14*(1-D14)</f>
        <v>70.32</v>
      </c>
      <c r="F14" s="40" t="n">
        <f aca="false">ROUND(E14*12,2)</f>
        <v>843.84</v>
      </c>
      <c r="G14" s="8" t="s">
        <v>79</v>
      </c>
      <c r="H14" s="1"/>
      <c r="I14" s="1"/>
      <c r="J14" s="1"/>
      <c r="K14" s="1"/>
      <c r="L14" s="1"/>
      <c r="M14" s="1"/>
    </row>
    <row r="15" customFormat="false" ht="15" hidden="false" customHeight="false" outlineLevel="0" collapsed="false">
      <c r="A15" s="1"/>
      <c r="B15" s="10" t="s">
        <v>80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customFormat="false" ht="15" hidden="false" customHeight="false" outlineLevel="0" collapsed="false">
      <c r="A17" s="1"/>
      <c r="B17" s="13" t="s">
        <v>81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customFormat="false" ht="30" hidden="false" customHeight="true" outlineLevel="0" collapsed="false">
      <c r="A18" s="1"/>
      <c r="B18" s="37" t="s">
        <v>82</v>
      </c>
      <c r="C18" s="37" t="s">
        <v>83</v>
      </c>
      <c r="D18" s="37" t="s">
        <v>84</v>
      </c>
      <c r="E18" s="37" t="s">
        <v>85</v>
      </c>
      <c r="F18" s="37" t="s">
        <v>86</v>
      </c>
      <c r="G18" s="37" t="s">
        <v>87</v>
      </c>
      <c r="H18" s="1"/>
      <c r="I18" s="1"/>
      <c r="J18" s="1"/>
      <c r="K18" s="1"/>
      <c r="L18" s="1"/>
      <c r="M18" s="1"/>
    </row>
    <row r="19" customFormat="false" ht="15" hidden="false" customHeight="false" outlineLevel="0" collapsed="false">
      <c r="A19" s="1"/>
      <c r="B19" s="41" t="s">
        <v>88</v>
      </c>
      <c r="C19" s="42" t="n">
        <v>4</v>
      </c>
      <c r="D19" s="42" t="n">
        <v>8</v>
      </c>
      <c r="E19" s="42" t="n">
        <v>15</v>
      </c>
      <c r="F19" s="43" t="n">
        <f aca="false">INDEX(C19:E19,MATCH($C$9,$C$18:$E$18,0))</f>
        <v>8</v>
      </c>
      <c r="G19" s="10" t="s">
        <v>89</v>
      </c>
      <c r="H19" s="1"/>
      <c r="I19" s="1"/>
      <c r="J19" s="1"/>
      <c r="K19" s="1"/>
      <c r="L19" s="1"/>
      <c r="M19" s="1"/>
    </row>
    <row r="20" customFormat="false" ht="15" hidden="false" customHeight="false" outlineLevel="0" collapsed="false">
      <c r="A20" s="1"/>
      <c r="B20" s="41" t="s">
        <v>90</v>
      </c>
      <c r="C20" s="39" t="n">
        <v>0.03</v>
      </c>
      <c r="D20" s="39" t="n">
        <v>0.07</v>
      </c>
      <c r="E20" s="39" t="n">
        <v>0.12</v>
      </c>
      <c r="F20" s="44" t="n">
        <f aca="false">INDEX(C20:E20,MATCH($C$9,$C$18:$E$18,0))</f>
        <v>0.07</v>
      </c>
      <c r="G20" s="10" t="s">
        <v>91</v>
      </c>
      <c r="H20" s="1"/>
      <c r="I20" s="1"/>
      <c r="J20" s="1"/>
      <c r="K20" s="1"/>
      <c r="L20" s="1"/>
      <c r="M20" s="1"/>
    </row>
    <row r="21" customFormat="false" ht="15" hidden="false" customHeight="false" outlineLevel="0" collapsed="false">
      <c r="A21" s="1"/>
      <c r="B21" s="41" t="s">
        <v>92</v>
      </c>
      <c r="C21" s="39" t="n">
        <v>0.08</v>
      </c>
      <c r="D21" s="39" t="n">
        <v>0.05</v>
      </c>
      <c r="E21" s="39" t="n">
        <v>0.03</v>
      </c>
      <c r="F21" s="44" t="n">
        <f aca="false">INDEX(C21:E21,MATCH($C$9,$C$18:$E$18,0))</f>
        <v>0.05</v>
      </c>
      <c r="G21" s="10" t="s">
        <v>93</v>
      </c>
      <c r="H21" s="1"/>
      <c r="I21" s="1"/>
      <c r="J21" s="1"/>
      <c r="K21" s="1"/>
      <c r="L21" s="1"/>
      <c r="M21" s="1"/>
    </row>
    <row r="22" customFormat="false" ht="15" hidden="false" customHeight="false" outlineLevel="0" collapsed="false">
      <c r="A22" s="1"/>
      <c r="B22" s="41" t="s">
        <v>94</v>
      </c>
      <c r="C22" s="39" t="n">
        <v>0.5</v>
      </c>
      <c r="D22" s="39" t="n">
        <v>0.65</v>
      </c>
      <c r="E22" s="39" t="n">
        <v>0.8</v>
      </c>
      <c r="F22" s="44" t="n">
        <f aca="false">INDEX(C22:E22,MATCH($C$9,$C$18:$E$18,0))</f>
        <v>0.65</v>
      </c>
      <c r="G22" s="10" t="s">
        <v>95</v>
      </c>
      <c r="H22" s="1"/>
      <c r="I22" s="1"/>
      <c r="J22" s="1"/>
      <c r="K22" s="1"/>
      <c r="L22" s="1"/>
      <c r="M22" s="1"/>
    </row>
    <row r="23" customFormat="false" ht="15" hidden="false" customHeight="false" outlineLevel="0" collapsed="false">
      <c r="A23" s="1"/>
      <c r="B23" s="41" t="s">
        <v>96</v>
      </c>
      <c r="C23" s="39" t="n">
        <v>0.15</v>
      </c>
      <c r="D23" s="39" t="n">
        <v>0.25</v>
      </c>
      <c r="E23" s="39" t="n">
        <v>0.35</v>
      </c>
      <c r="F23" s="44" t="n">
        <f aca="false">INDEX(C23:E23,MATCH($C$9,$C$18:$E$18,0))</f>
        <v>0.25</v>
      </c>
      <c r="G23" s="10" t="s">
        <v>97</v>
      </c>
      <c r="H23" s="1"/>
      <c r="I23" s="1"/>
      <c r="J23" s="1"/>
      <c r="K23" s="1"/>
      <c r="L23" s="1"/>
      <c r="M23" s="1"/>
    </row>
    <row r="24" customFormat="false" ht="15" hidden="false" customHeight="false" outlineLevel="0" collapsed="false">
      <c r="A24" s="1"/>
      <c r="B24" s="41" t="s">
        <v>98</v>
      </c>
      <c r="C24" s="39" t="n">
        <v>0.1</v>
      </c>
      <c r="D24" s="39" t="n">
        <v>0.2</v>
      </c>
      <c r="E24" s="39" t="n">
        <v>0.3</v>
      </c>
      <c r="F24" s="44" t="n">
        <f aca="false">INDEX(C24:E24,MATCH($C$9,$C$18:$E$18,0))</f>
        <v>0.2</v>
      </c>
      <c r="G24" s="10" t="s">
        <v>99</v>
      </c>
      <c r="H24" s="1"/>
      <c r="I24" s="1"/>
      <c r="J24" s="1"/>
      <c r="K24" s="1"/>
      <c r="L24" s="1"/>
      <c r="M24" s="1"/>
    </row>
    <row r="25" customFormat="false" ht="15" hidden="false" customHeight="false" outlineLevel="0" collapsed="false">
      <c r="A25" s="1"/>
      <c r="B25" s="41" t="s">
        <v>100</v>
      </c>
      <c r="C25" s="39" t="n">
        <v>0.1</v>
      </c>
      <c r="D25" s="39" t="n">
        <v>0.2</v>
      </c>
      <c r="E25" s="39" t="n">
        <v>0.3</v>
      </c>
      <c r="F25" s="44" t="n">
        <f aca="false">INDEX(C25:E25,MATCH($C$9,$C$18:$E$18,0))</f>
        <v>0.2</v>
      </c>
      <c r="G25" s="10" t="s">
        <v>101</v>
      </c>
      <c r="H25" s="1"/>
      <c r="I25" s="1"/>
      <c r="J25" s="1"/>
      <c r="K25" s="1"/>
      <c r="L25" s="1"/>
      <c r="M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customFormat="false" ht="15" hidden="false" customHeight="false" outlineLevel="0" collapsed="false">
      <c r="A27" s="1"/>
      <c r="B27" s="13" t="s">
        <v>102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customFormat="false" ht="15" hidden="false" customHeight="false" outlineLevel="0" collapsed="false">
      <c r="A28" s="1"/>
      <c r="B28" s="41" t="s">
        <v>103</v>
      </c>
      <c r="C28" s="39" t="n">
        <v>0.035</v>
      </c>
      <c r="D28" s="10" t="s">
        <v>104</v>
      </c>
      <c r="E28" s="1"/>
      <c r="F28" s="1"/>
      <c r="G28" s="1"/>
      <c r="H28" s="1"/>
      <c r="I28" s="1"/>
      <c r="J28" s="1"/>
      <c r="K28" s="1"/>
      <c r="L28" s="1"/>
      <c r="M28" s="1"/>
    </row>
    <row r="29" customFormat="false" ht="15" hidden="false" customHeight="false" outlineLevel="0" collapsed="false">
      <c r="A29" s="1"/>
      <c r="B29" s="41" t="s">
        <v>105</v>
      </c>
      <c r="C29" s="34" t="n">
        <v>0.49</v>
      </c>
      <c r="D29" s="10" t="s">
        <v>106</v>
      </c>
      <c r="E29" s="1"/>
      <c r="F29" s="1"/>
      <c r="G29" s="1"/>
      <c r="H29" s="1"/>
      <c r="I29" s="1"/>
      <c r="J29" s="1"/>
      <c r="K29" s="1"/>
      <c r="L29" s="1"/>
      <c r="M29" s="1"/>
    </row>
    <row r="30" customFormat="false" ht="15" hidden="false" customHeight="false" outlineLevel="0" collapsed="false">
      <c r="A30" s="1"/>
      <c r="B30" s="41" t="s">
        <v>107</v>
      </c>
      <c r="C30" s="39" t="n">
        <v>0.06</v>
      </c>
      <c r="D30" s="10" t="s">
        <v>108</v>
      </c>
      <c r="E30" s="1"/>
      <c r="F30" s="1"/>
      <c r="G30" s="1"/>
      <c r="H30" s="1"/>
      <c r="I30" s="1"/>
      <c r="J30" s="1"/>
      <c r="K30" s="1"/>
      <c r="L30" s="1"/>
      <c r="M30" s="1"/>
    </row>
    <row r="31" customFormat="false" ht="15" hidden="false" customHeight="false" outlineLevel="0" collapsed="false">
      <c r="A31" s="1"/>
      <c r="B31" s="41" t="s">
        <v>109</v>
      </c>
      <c r="C31" s="34" t="n">
        <v>0.5</v>
      </c>
      <c r="D31" s="10" t="s">
        <v>110</v>
      </c>
      <c r="E31" s="1"/>
      <c r="F31" s="1"/>
      <c r="G31" s="1"/>
      <c r="H31" s="1"/>
      <c r="I31" s="1"/>
      <c r="J31" s="1"/>
      <c r="K31" s="1"/>
      <c r="L31" s="1"/>
      <c r="M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customFormat="false" ht="15" hidden="false" customHeight="false" outlineLevel="0" collapsed="false">
      <c r="A33" s="1"/>
      <c r="B33" s="13" t="s">
        <v>111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customFormat="false" ht="15" hidden="false" customHeight="false" outlineLevel="0" collapsed="false">
      <c r="A34" s="1"/>
      <c r="B34" s="41" t="s">
        <v>112</v>
      </c>
      <c r="C34" s="34" t="n">
        <v>1500</v>
      </c>
      <c r="D34" s="10" t="s">
        <v>113</v>
      </c>
      <c r="E34" s="1"/>
      <c r="F34" s="1"/>
      <c r="G34" s="1"/>
      <c r="H34" s="1"/>
      <c r="I34" s="1"/>
      <c r="J34" s="1"/>
      <c r="K34" s="1"/>
      <c r="L34" s="1"/>
      <c r="M34" s="1"/>
    </row>
    <row r="35" customFormat="false" ht="15" hidden="false" customHeight="false" outlineLevel="0" collapsed="false">
      <c r="A35" s="1"/>
      <c r="B35" s="41" t="s">
        <v>114</v>
      </c>
      <c r="C35" s="39" t="n">
        <v>0.03</v>
      </c>
      <c r="D35" s="10" t="s">
        <v>115</v>
      </c>
      <c r="E35" s="1"/>
      <c r="F35" s="1"/>
      <c r="G35" s="1"/>
      <c r="H35" s="1"/>
      <c r="I35" s="1"/>
      <c r="J35" s="1"/>
      <c r="K35" s="1"/>
      <c r="L35" s="1"/>
      <c r="M35" s="1"/>
    </row>
    <row r="36" customFormat="false" ht="15" hidden="false" customHeight="false" outlineLevel="0" collapsed="false">
      <c r="A36" s="1"/>
      <c r="B36" s="41" t="s">
        <v>116</v>
      </c>
      <c r="C36" s="39" t="n">
        <v>0.2</v>
      </c>
      <c r="D36" s="10" t="s">
        <v>117</v>
      </c>
      <c r="E36" s="1"/>
      <c r="F36" s="1"/>
      <c r="G36" s="1"/>
      <c r="H36" s="1"/>
      <c r="I36" s="1"/>
      <c r="J36" s="1"/>
      <c r="K36" s="1"/>
      <c r="L36" s="1"/>
      <c r="M36" s="1"/>
    </row>
    <row r="37" customFormat="false" ht="15" hidden="false" customHeight="false" outlineLevel="0" collapsed="false">
      <c r="A37" s="1"/>
      <c r="B37" s="41" t="s">
        <v>118</v>
      </c>
      <c r="C37" s="34" t="n">
        <v>30</v>
      </c>
      <c r="D37" s="10" t="s">
        <v>119</v>
      </c>
      <c r="E37" s="1"/>
      <c r="F37" s="1"/>
      <c r="G37" s="1"/>
      <c r="H37" s="1"/>
      <c r="I37" s="1"/>
      <c r="J37" s="1"/>
      <c r="K37" s="1"/>
      <c r="L37" s="1"/>
      <c r="M37" s="1"/>
    </row>
    <row r="38" customFormat="false" ht="15" hidden="false" customHeight="false" outlineLevel="0" collapsed="false">
      <c r="A38" s="1"/>
      <c r="B38" s="10" t="s">
        <v>120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customFormat="false" ht="15" hidden="false" customHeight="false" outlineLevel="0" collapsed="false">
      <c r="A40" s="1"/>
      <c r="B40" s="13" t="s">
        <v>121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customFormat="false" ht="24" hidden="false" customHeight="true" outlineLevel="0" collapsed="false">
      <c r="A41" s="1"/>
      <c r="B41" s="37" t="s">
        <v>122</v>
      </c>
      <c r="C41" s="37" t="s">
        <v>123</v>
      </c>
      <c r="D41" s="37" t="s">
        <v>124</v>
      </c>
      <c r="E41" s="37"/>
      <c r="F41" s="37"/>
      <c r="G41" s="37" t="s">
        <v>125</v>
      </c>
      <c r="H41" s="1"/>
      <c r="I41" s="1"/>
      <c r="J41" s="1"/>
      <c r="K41" s="1"/>
      <c r="L41" s="1"/>
      <c r="M41" s="1"/>
    </row>
    <row r="42" customFormat="false" ht="15" hidden="false" customHeight="false" outlineLevel="0" collapsed="false">
      <c r="A42" s="1"/>
      <c r="B42" s="32" t="s">
        <v>126</v>
      </c>
      <c r="C42" s="34" t="n">
        <v>0</v>
      </c>
      <c r="D42" s="45" t="n">
        <v>1</v>
      </c>
      <c r="E42" s="1"/>
      <c r="F42" s="1"/>
      <c r="G42" s="10" t="s">
        <v>127</v>
      </c>
      <c r="H42" s="1"/>
      <c r="I42" s="1"/>
      <c r="J42" s="1"/>
      <c r="K42" s="1"/>
      <c r="L42" s="1"/>
      <c r="M42" s="1"/>
    </row>
    <row r="43" customFormat="false" ht="15" hidden="false" customHeight="false" outlineLevel="0" collapsed="false">
      <c r="A43" s="1"/>
      <c r="B43" s="32" t="s">
        <v>128</v>
      </c>
      <c r="C43" s="34" t="n">
        <v>150</v>
      </c>
      <c r="D43" s="45" t="n">
        <v>1</v>
      </c>
      <c r="E43" s="1"/>
      <c r="F43" s="1"/>
      <c r="G43" s="10" t="s">
        <v>129</v>
      </c>
      <c r="H43" s="1"/>
      <c r="I43" s="1"/>
      <c r="J43" s="1"/>
      <c r="K43" s="1"/>
      <c r="L43" s="1"/>
      <c r="M43" s="1"/>
    </row>
    <row r="44" customFormat="false" ht="15" hidden="false" customHeight="false" outlineLevel="0" collapsed="false">
      <c r="A44" s="1"/>
      <c r="B44" s="32" t="s">
        <v>130</v>
      </c>
      <c r="C44" s="34" t="n">
        <v>10</v>
      </c>
      <c r="D44" s="45" t="n">
        <v>1</v>
      </c>
      <c r="E44" s="1"/>
      <c r="F44" s="1"/>
      <c r="G44" s="10" t="s">
        <v>131</v>
      </c>
      <c r="H44" s="1"/>
      <c r="I44" s="1"/>
      <c r="J44" s="1"/>
      <c r="K44" s="1"/>
      <c r="L44" s="1"/>
      <c r="M44" s="1"/>
    </row>
    <row r="45" customFormat="false" ht="15" hidden="false" customHeight="false" outlineLevel="0" collapsed="false">
      <c r="A45" s="1"/>
      <c r="B45" s="32" t="s">
        <v>132</v>
      </c>
      <c r="C45" s="34" t="n">
        <v>30</v>
      </c>
      <c r="D45" s="45" t="n">
        <v>1</v>
      </c>
      <c r="E45" s="1"/>
      <c r="F45" s="1"/>
      <c r="G45" s="10" t="s">
        <v>133</v>
      </c>
      <c r="H45" s="1"/>
      <c r="I45" s="1"/>
      <c r="J45" s="1"/>
      <c r="K45" s="1"/>
      <c r="L45" s="1"/>
      <c r="M45" s="1"/>
    </row>
    <row r="46" customFormat="false" ht="15" hidden="false" customHeight="false" outlineLevel="0" collapsed="false">
      <c r="A46" s="1"/>
      <c r="B46" s="32" t="s">
        <v>134</v>
      </c>
      <c r="C46" s="34" t="n">
        <v>110</v>
      </c>
      <c r="D46" s="45" t="n">
        <v>1</v>
      </c>
      <c r="E46" s="1"/>
      <c r="F46" s="1"/>
      <c r="G46" s="10" t="s">
        <v>135</v>
      </c>
      <c r="H46" s="1"/>
      <c r="I46" s="1"/>
      <c r="J46" s="1"/>
      <c r="K46" s="1"/>
      <c r="L46" s="1"/>
      <c r="M46" s="1"/>
    </row>
    <row r="47" customFormat="false" ht="15" hidden="false" customHeight="false" outlineLevel="0" collapsed="false">
      <c r="A47" s="1"/>
      <c r="B47" s="32" t="s">
        <v>136</v>
      </c>
      <c r="C47" s="34" t="n">
        <v>35</v>
      </c>
      <c r="D47" s="45" t="n">
        <v>1</v>
      </c>
      <c r="E47" s="1"/>
      <c r="F47" s="1"/>
      <c r="G47" s="10"/>
      <c r="H47" s="1"/>
      <c r="I47" s="1"/>
      <c r="J47" s="1"/>
      <c r="K47" s="1"/>
      <c r="L47" s="1"/>
      <c r="M47" s="1"/>
    </row>
    <row r="48" customFormat="false" ht="15" hidden="false" customHeight="false" outlineLevel="0" collapsed="false">
      <c r="A48" s="1"/>
      <c r="B48" s="32" t="s">
        <v>137</v>
      </c>
      <c r="C48" s="34" t="n">
        <v>60</v>
      </c>
      <c r="D48" s="45" t="n">
        <v>1</v>
      </c>
      <c r="E48" s="1"/>
      <c r="F48" s="1"/>
      <c r="G48" s="10" t="s">
        <v>138</v>
      </c>
      <c r="H48" s="1"/>
      <c r="I48" s="1"/>
      <c r="J48" s="1"/>
      <c r="K48" s="1"/>
      <c r="L48" s="1"/>
      <c r="M48" s="1"/>
    </row>
    <row r="49" customFormat="false" ht="15" hidden="false" customHeight="false" outlineLevel="0" collapsed="false">
      <c r="A49" s="1"/>
      <c r="B49" s="32" t="s">
        <v>139</v>
      </c>
      <c r="C49" s="34" t="n">
        <v>50</v>
      </c>
      <c r="D49" s="45" t="n">
        <v>1</v>
      </c>
      <c r="E49" s="1"/>
      <c r="F49" s="1"/>
      <c r="G49" s="10" t="s">
        <v>140</v>
      </c>
      <c r="H49" s="1"/>
      <c r="I49" s="1"/>
      <c r="J49" s="1"/>
      <c r="K49" s="1"/>
      <c r="L49" s="1"/>
      <c r="M49" s="1"/>
    </row>
    <row r="50" customFormat="false" ht="15" hidden="false" customHeight="false" outlineLevel="0" collapsed="false">
      <c r="A50" s="1"/>
      <c r="B50" s="32" t="s">
        <v>141</v>
      </c>
      <c r="C50" s="34" t="n">
        <v>1500</v>
      </c>
      <c r="D50" s="45" t="n">
        <v>1</v>
      </c>
      <c r="E50" s="1"/>
      <c r="F50" s="1"/>
      <c r="G50" s="10" t="s">
        <v>142</v>
      </c>
      <c r="H50" s="1"/>
      <c r="I50" s="1"/>
      <c r="J50" s="1"/>
      <c r="K50" s="1"/>
      <c r="L50" s="1"/>
      <c r="M50" s="1"/>
    </row>
    <row r="51" customFormat="false" ht="15" hidden="false" customHeight="false" outlineLevel="0" collapsed="false">
      <c r="A51" s="1"/>
      <c r="B51" s="32" t="s">
        <v>143</v>
      </c>
      <c r="C51" s="34" t="n">
        <v>1200</v>
      </c>
      <c r="D51" s="45" t="n">
        <v>7</v>
      </c>
      <c r="E51" s="1"/>
      <c r="F51" s="1"/>
      <c r="G51" s="10" t="s">
        <v>144</v>
      </c>
      <c r="H51" s="1"/>
      <c r="I51" s="1"/>
      <c r="J51" s="1"/>
      <c r="K51" s="1"/>
      <c r="L51" s="1"/>
      <c r="M51" s="1"/>
    </row>
    <row r="52" customFormat="false" ht="15" hidden="false" customHeight="false" outlineLevel="0" collapsed="false">
      <c r="A52" s="1"/>
      <c r="B52" s="32" t="s">
        <v>145</v>
      </c>
      <c r="C52" s="34" t="n">
        <v>250</v>
      </c>
      <c r="D52" s="45" t="n">
        <v>1</v>
      </c>
      <c r="E52" s="1"/>
      <c r="F52" s="1"/>
      <c r="G52" s="10"/>
      <c r="H52" s="1"/>
      <c r="I52" s="1"/>
      <c r="J52" s="1"/>
      <c r="K52" s="1"/>
      <c r="L52" s="1"/>
      <c r="M52" s="1"/>
    </row>
    <row r="53" customFormat="false" ht="15" hidden="false" customHeight="false" outlineLevel="0" collapsed="false">
      <c r="A53" s="1"/>
      <c r="B53" s="32" t="s">
        <v>146</v>
      </c>
      <c r="C53" s="34" t="n">
        <v>0</v>
      </c>
      <c r="D53" s="45" t="n">
        <v>1</v>
      </c>
      <c r="E53" s="1"/>
      <c r="F53" s="1"/>
      <c r="G53" s="10" t="s">
        <v>147</v>
      </c>
      <c r="H53" s="1"/>
      <c r="I53" s="1"/>
      <c r="J53" s="1"/>
      <c r="K53" s="1"/>
      <c r="L53" s="1"/>
      <c r="M53" s="1"/>
    </row>
    <row r="54" customFormat="false" ht="15" hidden="false" customHeight="false" outlineLevel="0" collapsed="false">
      <c r="A54" s="1"/>
      <c r="B54" s="32"/>
      <c r="C54" s="34"/>
      <c r="D54" s="45"/>
      <c r="E54" s="1"/>
      <c r="F54" s="1"/>
      <c r="G54" s="10"/>
      <c r="H54" s="1"/>
      <c r="I54" s="1"/>
      <c r="J54" s="1"/>
      <c r="K54" s="1"/>
      <c r="L54" s="1"/>
      <c r="M54" s="1"/>
    </row>
    <row r="55" customFormat="false" ht="15" hidden="false" customHeight="false" outlineLevel="0" collapsed="false">
      <c r="A55" s="1"/>
      <c r="B55" s="32"/>
      <c r="C55" s="34"/>
      <c r="D55" s="45"/>
      <c r="E55" s="1"/>
      <c r="F55" s="1"/>
      <c r="G55" s="10"/>
      <c r="H55" s="1"/>
      <c r="I55" s="1"/>
      <c r="J55" s="1"/>
      <c r="K55" s="1"/>
      <c r="L55" s="1"/>
      <c r="M55" s="1"/>
    </row>
    <row r="56" customFormat="false" ht="15" hidden="false" customHeight="false" outlineLevel="0" collapsed="false">
      <c r="A56" s="1"/>
      <c r="B56" s="32"/>
      <c r="C56" s="34"/>
      <c r="D56" s="45"/>
      <c r="E56" s="1"/>
      <c r="F56" s="1"/>
      <c r="G56" s="10"/>
      <c r="H56" s="1"/>
      <c r="I56" s="1"/>
      <c r="J56" s="1"/>
      <c r="K56" s="1"/>
      <c r="L56" s="1"/>
      <c r="M56" s="1"/>
    </row>
    <row r="57" customFormat="false" ht="15" hidden="false" customHeight="false" outlineLevel="0" collapsed="false">
      <c r="A57" s="1"/>
      <c r="B57" s="32"/>
      <c r="C57" s="34"/>
      <c r="D57" s="45"/>
      <c r="E57" s="1"/>
      <c r="F57" s="1"/>
      <c r="G57" s="10"/>
      <c r="H57" s="1"/>
      <c r="I57" s="1"/>
      <c r="J57" s="1"/>
      <c r="K57" s="1"/>
      <c r="L57" s="1"/>
      <c r="M57" s="1"/>
    </row>
    <row r="58" customFormat="false" ht="15" hidden="false" customHeight="false" outlineLevel="0" collapsed="false">
      <c r="A58" s="1"/>
      <c r="B58" s="32"/>
      <c r="C58" s="34"/>
      <c r="D58" s="45"/>
      <c r="E58" s="1"/>
      <c r="F58" s="1"/>
      <c r="G58" s="10"/>
      <c r="H58" s="1"/>
      <c r="I58" s="1"/>
      <c r="J58" s="1"/>
      <c r="K58" s="1"/>
      <c r="L58" s="1"/>
      <c r="M58" s="1"/>
    </row>
    <row r="59" customFormat="false" ht="15" hidden="false" customHeight="false" outlineLevel="0" collapsed="false">
      <c r="A59" s="1"/>
      <c r="B59" s="32"/>
      <c r="C59" s="34"/>
      <c r="D59" s="45"/>
      <c r="E59" s="1"/>
      <c r="F59" s="1"/>
      <c r="G59" s="10"/>
      <c r="H59" s="1"/>
      <c r="I59" s="1"/>
      <c r="J59" s="1"/>
      <c r="K59" s="1"/>
      <c r="L59" s="1"/>
      <c r="M59" s="1"/>
    </row>
    <row r="60" customFormat="false" ht="15" hidden="false" customHeight="false" outlineLevel="0" collapsed="false">
      <c r="A60" s="1"/>
      <c r="B60" s="32"/>
      <c r="C60" s="34"/>
      <c r="D60" s="45"/>
      <c r="E60" s="1"/>
      <c r="F60" s="1"/>
      <c r="G60" s="10"/>
      <c r="H60" s="1"/>
      <c r="I60" s="1"/>
      <c r="J60" s="1"/>
      <c r="K60" s="1"/>
      <c r="L60" s="1"/>
      <c r="M60" s="1"/>
    </row>
    <row r="61" customFormat="false" ht="15" hidden="false" customHeight="false" outlineLevel="0" collapsed="false">
      <c r="A61" s="1"/>
      <c r="B61" s="32"/>
      <c r="C61" s="34"/>
      <c r="D61" s="45"/>
      <c r="E61" s="1"/>
      <c r="F61" s="1"/>
      <c r="G61" s="10"/>
      <c r="H61" s="1"/>
      <c r="I61" s="1"/>
      <c r="J61" s="1"/>
      <c r="K61" s="1"/>
      <c r="L61" s="1"/>
      <c r="M61" s="1"/>
    </row>
    <row r="62" customFormat="false" ht="15" hidden="false" customHeight="false" outlineLevel="0" collapsed="false">
      <c r="A62" s="1"/>
      <c r="B62" s="46" t="s">
        <v>148</v>
      </c>
      <c r="C62" s="47" t="n">
        <f aca="false">SUM(C42:C61)</f>
        <v>3395</v>
      </c>
      <c r="D62" s="1"/>
      <c r="E62" s="1"/>
      <c r="F62" s="1"/>
      <c r="G62" s="1"/>
      <c r="H62" s="1"/>
      <c r="I62" s="1"/>
      <c r="J62" s="1"/>
      <c r="K62" s="1"/>
      <c r="L62" s="1"/>
      <c r="M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</sheetData>
  <mergeCells count="1">
    <mergeCell ref="B2:G2"/>
  </mergeCells>
  <dataValidations count="22">
    <dataValidation allowBlank="false" errorStyle="stop" operator="between" prompt="Escolha o cenário que alimenta Projeção, Fluxo de Caixa, Unit Economics e Dashboard." promptTitle="Cenário" showDropDown="false" showErrorMessage="false" showInputMessage="true" sqref="C9" type="list">
      <formula1>"Pessimista,Realista,Otimista"</formula1>
      <formula2>0</formula2>
    </dataValidation>
    <dataValidation allowBlank="true" errorStyle="stop" operator="between" prompt="Data do primeiro mês de vendas. Ex.: 01/10/2026." promptTitle="Início" showDropDown="false" showErrorMessage="false" showInputMessage="true" sqref="C7" type="none">
      <formula1>0</formula1>
      <formula2>0</formula2>
    </dataValidation>
    <dataValidation allowBlank="true" errorStyle="stop" operator="between" prompt="Quanto dinheiro já existe para bancar o início (R$). Pode ser 0." promptTitle="Caixa inicial" showDropDown="false" showErrorMessage="false" showInputMessage="true" sqref="C8" type="none">
      <formula1>0</formula1>
      <formula2>0</formula2>
    </dataValidation>
    <dataValidation allowBlank="true" errorStyle="stop" operator="between" prompt="Preço da assinatura mensal (do escopo)." promptTitle="Preço mensal" showDropDown="false" showErrorMessage="false" showInputMessage="true" sqref="C13:C14" type="none">
      <formula1>0</formula1>
      <formula2>0</formula2>
    </dataValidation>
    <dataValidation allowBlank="true" errorStyle="stop" operator="between" prompt="Desconto do plano anual sobre o mensal. Ex.: 15% ou 0,15." promptTitle="Desconto anual" showDropDown="false" showErrorMessage="false" showInputMessage="true" sqref="D13:D14" type="none">
      <formula1>0</formula1>
      <formula2>0</formula2>
    </dataValidation>
    <dataValidation allowBlank="true" errorStyle="stop" operator="between" prompt="Quantas assinaturas novas no primeiro mês de vendas" promptTitle="Novos clientes pagantes no mês 1" showDropDown="false" showErrorMessage="false" showInputMessage="true" sqref="C19:E19" type="none">
      <formula1>0</formula1>
      <formula2>0</formula2>
    </dataValidation>
    <dataValidation allowBlank="true" errorStyle="stop" operator="between" prompt="Quanto o nº de novos clientes cresce a cada mês. Ex.: 7% → 8; 8,6; 9,2..." promptTitle="Crescimento mensal dos novos cli" showDropDown="false" showErrorMessage="false" showInputMessage="true" sqref="C20:E20" type="none">
      <formula1>0</formula1>
      <formula2>0</formula2>
    </dataValidation>
    <dataValidation allowBlank="true" errorStyle="stop" operator="between" prompt="% dos clientes do plano MENSAL que cancelam por mês" promptTitle="Churn mensal (plano mensal)" showDropDown="false" showErrorMessage="false" showInputMessage="true" sqref="C21:E21" type="none">
      <formula1>0</formula1>
      <formula2>0</formula2>
    </dataValidation>
    <dataValidation allowBlank="true" errorStyle="stop" operator="between" prompt="% dos clientes anuais que renovam ao fim dos 12 meses" promptTitle="Renovação do plano anual" showDropDown="false" showErrorMessage="false" showInputMessage="true" sqref="C22:E22" type="none">
      <formula1>0</formula1>
      <formula2>0</formula2>
    </dataValidation>
    <dataValidation allowBlank="true" errorStyle="stop" operator="between" prompt="Mix de planos: o restante vai para o Essencial" promptTitle="% dos novos clientes no plano Pr" showDropDown="false" showErrorMessage="false" showInputMessage="true" sqref="C23:E23" type="none">
      <formula1>0</formula1>
      <formula2>0</formula2>
    </dataValidation>
    <dataValidation allowBlank="true" errorStyle="stop" operator="between" prompt="Mix de cobrança: o restante paga mensal" promptTitle="% dos novos clientes no plano an" showDropDown="false" showErrorMessage="false" showInputMessage="true" sqref="C24:E24" type="none">
      <formula1>0</formula1>
      <formula2>0</formula2>
    </dataValidation>
    <dataValidation allowBlank="true" errorStyle="stop" operator="between" prompt="% dos testes grátis que viram pagantes. Sem teste grátis? Coloque 100%" promptTitle="Conversão do teste grátis" showDropDown="false" showErrorMessage="false" showInputMessage="true" sqref="C25:E25" type="none">
      <formula1>0</formula1>
      <formula2>0</formula2>
    </dataValidation>
    <dataValidation allowBlank="true" errorStyle="stop" operator="between" prompt="% cobrado pelo gateway (cartão/Pix/boleto) sobre cada cobrança. Média ponderada." promptTitle="Taxa do gateway de pagamento (%)" showDropDown="false" showErrorMessage="false" showInputMessage="true" sqref="C28" type="none">
      <formula1>0</formula1>
      <formula2>0</formula2>
    </dataValidation>
    <dataValidation allowBlank="true" errorStyle="stop" operator="between" prompt="Valor fixo por cobrança gerada (se houver). Mensal = 1 cobrança/mês; anual = 1 por ano." promptTitle="Tarifa fixa por cobrança (R$)" showDropDown="false" showErrorMessage="false" showInputMessage="true" sqref="C29" type="none">
      <formula1>0</formula1>
      <formula2>0</formula2>
    </dataValidation>
    <dataValidation allowBlank="true" errorStyle="stop" operator="between" prompt="Alíquota do Simples Nacional (SaaS costuma ser Anexo III, a partir de 6%). Confirme com o contador." promptTitle="Imposto sobre faturamento (%)" showDropDown="false" showErrorMessage="false" showInputMessage="true" sqref="C30" type="none">
      <formula1>0</formula1>
      <formula2>0</formula2>
    </dataValidation>
    <dataValidation allowBlank="true" errorStyle="stop" operator="between" prompt="Custo extra de servidor/banco/tempo real para cada cliente ativo." promptTitle="Infraestrutura por cliente ativo" showDropDown="false" showErrorMessage="false" showInputMessage="true" sqref="C31" type="none">
      <formula1>0</formula1>
      <formula2>0</formula2>
    </dataValidation>
    <dataValidation allowBlank="true" errorStyle="stop" operator="between" prompt="Meta/Google/Instagram pago no primeiro mês" promptTitle="Investimento em anúncios no mês " showDropDown="false" showErrorMessage="false" showInputMessage="true" sqref="C34" type="none">
      <formula1>0</formula1>
      <formula2>0</formula2>
    </dataValidation>
    <dataValidation allowBlank="true" errorStyle="stop" operator="between" prompt="Quanto o orçamento de anúncios sobe por mês. 0% = fixo" promptTitle="Crescimento mensal do investimen" showDropDown="false" showErrorMessage="false" showInputMessage="true" sqref="C35" type="none">
      <formula1>0</formula1>
      <formula2>0</formula2>
    </dataValidation>
    <dataValidation allowBlank="true" errorStyle="stop" operator="between" prompt="Parte dos novos clientes que gera comissão" promptTitle="% dos novos clientes vindos de i" showDropDown="false" showErrorMessage="false" showInputMessage="true" sqref="C36" type="none">
      <formula1>0</formula1>
      <formula2>0</formula2>
    </dataValidation>
    <dataValidation allowBlank="true" errorStyle="stop" operator="between" prompt="Valor pago ao indicador/revendedor por cliente novo. 0 se não houver" promptTitle="Comissão por cliente indicado (R" showDropDown="false" showErrorMessage="false" showInputMessage="true" sqref="C37" type="none">
      <formula1>0</formula1>
      <formula2>0</formula2>
    </dataValidation>
    <dataValidation allowBlank="true" errorStyle="stop" operator="between" prompt="Quanto esse custo representa por mês (R$). Custos anuais: divida por 12." promptTitle="Valor mensal" showDropDown="false" showErrorMessage="false" showInputMessage="true" sqref="C42:C61" type="none">
      <formula1>0</formula1>
      <formula2>0</formula2>
    </dataValidation>
    <dataValidation allowBlank="true" errorStyle="stop" operator="between" prompt="Mês da projeção (1 a 24) em que esse custo começa. Vazio = desde o mês 1." promptTitle="A partir do mês" showDropDown="false" showErrorMessage="false" showInputMessage="true" sqref="D42:D61" type="none">
      <formula1>0</formula1>
      <formula2>0</formula2>
    </dataValidation>
  </dataValidations>
  <hyperlinks>
    <hyperlink ref="B1" r:id="rId1" location="'Comece%20Aqui'!A1" display="⌂  Início"/>
    <hyperlink ref="C1" r:id="rId2" location="'Dashboard'!A1" display="▦ 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5C66"/>
    <pageSetUpPr fitToPage="true"/>
  </sheetPr>
  <dimension ref="A1:AQ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27" min="4" style="0" width="14"/>
    <col collapsed="false" customWidth="true" hidden="false" outlineLevel="0" max="28" min="28" style="0" width="3"/>
    <col collapsed="false" customWidth="true" hidden="false" outlineLevel="0" max="37" min="29" style="0" width="14"/>
  </cols>
  <sheetData>
    <row r="1" customFormat="false" ht="24" hidden="false" customHeight="true" outlineLevel="0" collapsed="false">
      <c r="A1" s="1"/>
      <c r="B1" s="6" t="s">
        <v>26</v>
      </c>
      <c r="C1" s="6" t="s">
        <v>56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customFormat="false" ht="42" hidden="false" customHeight="true" outlineLevel="0" collapsed="false">
      <c r="A2" s="1"/>
      <c r="B2" s="2" t="str">
        <f aca="false">"PROJEÇÃO 24 MESES  ·  CENÁRIO "&amp;UPPER(Premissas!$C$9)</f>
        <v>PROJEÇÃO 24 MESES  ·  CENÁRIO REALISTA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1"/>
      <c r="AM2" s="1"/>
      <c r="AN2" s="1"/>
      <c r="AO2" s="1"/>
      <c r="AP2" s="1"/>
      <c r="AQ2" s="1"/>
    </row>
    <row r="3" customFormat="false" ht="15" hidden="false" customHeight="false" outlineLevel="0" collapsed="false">
      <c r="A3" s="1"/>
      <c r="B3" s="10" t="s">
        <v>149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customFormat="false" ht="15" hidden="false" customHeight="false" outlineLevel="0" collapsed="false">
      <c r="A4" s="1"/>
      <c r="B4" s="48" t="s">
        <v>150</v>
      </c>
      <c r="C4" s="48"/>
      <c r="D4" s="48"/>
      <c r="E4" s="48"/>
      <c r="F4" s="48"/>
      <c r="G4" s="48"/>
      <c r="H4" s="48"/>
      <c r="I4" s="48"/>
      <c r="J4" s="48"/>
      <c r="K4" s="48"/>
      <c r="L4" s="48" t="s">
        <v>151</v>
      </c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1"/>
      <c r="AC4" s="49" t="s">
        <v>152</v>
      </c>
      <c r="AD4" s="49"/>
      <c r="AE4" s="49"/>
      <c r="AF4" s="49"/>
      <c r="AG4" s="49"/>
      <c r="AH4" s="49"/>
      <c r="AI4" s="49"/>
      <c r="AJ4" s="49"/>
      <c r="AK4" s="49"/>
      <c r="AL4" s="1"/>
      <c r="AM4" s="1"/>
      <c r="AN4" s="1"/>
      <c r="AO4" s="1"/>
      <c r="AP4" s="1"/>
      <c r="AQ4" s="1"/>
    </row>
    <row r="5" customFormat="false" ht="42" hidden="false" customHeight="true" outlineLevel="0" collapsed="false">
      <c r="A5" s="1"/>
      <c r="B5" s="37" t="s">
        <v>153</v>
      </c>
      <c r="C5" s="37" t="s">
        <v>154</v>
      </c>
      <c r="D5" s="37" t="s">
        <v>155</v>
      </c>
      <c r="E5" s="37" t="s">
        <v>156</v>
      </c>
      <c r="F5" s="37" t="s">
        <v>157</v>
      </c>
      <c r="G5" s="37" t="s">
        <v>30</v>
      </c>
      <c r="H5" s="37" t="s">
        <v>158</v>
      </c>
      <c r="I5" s="37" t="s">
        <v>159</v>
      </c>
      <c r="J5" s="37" t="s">
        <v>160</v>
      </c>
      <c r="K5" s="37" t="s">
        <v>161</v>
      </c>
      <c r="L5" s="37" t="s">
        <v>162</v>
      </c>
      <c r="M5" s="37" t="s">
        <v>163</v>
      </c>
      <c r="N5" s="37" t="s">
        <v>164</v>
      </c>
      <c r="O5" s="37" t="s">
        <v>165</v>
      </c>
      <c r="P5" s="37" t="s">
        <v>166</v>
      </c>
      <c r="Q5" s="37" t="s">
        <v>167</v>
      </c>
      <c r="R5" s="37" t="s">
        <v>41</v>
      </c>
      <c r="S5" s="37" t="s">
        <v>168</v>
      </c>
      <c r="T5" s="37" t="s">
        <v>169</v>
      </c>
      <c r="U5" s="37" t="s">
        <v>170</v>
      </c>
      <c r="V5" s="37" t="s">
        <v>171</v>
      </c>
      <c r="W5" s="37" t="s">
        <v>172</v>
      </c>
      <c r="X5" s="37" t="s">
        <v>33</v>
      </c>
      <c r="Y5" s="37" t="s">
        <v>44</v>
      </c>
      <c r="Z5" s="37" t="s">
        <v>173</v>
      </c>
      <c r="AA5" s="37" t="s">
        <v>174</v>
      </c>
      <c r="AB5" s="1"/>
      <c r="AC5" s="50" t="s">
        <v>175</v>
      </c>
      <c r="AD5" s="50" t="s">
        <v>176</v>
      </c>
      <c r="AE5" s="50" t="s">
        <v>177</v>
      </c>
      <c r="AF5" s="50" t="s">
        <v>178</v>
      </c>
      <c r="AG5" s="50" t="s">
        <v>179</v>
      </c>
      <c r="AH5" s="50" t="s">
        <v>180</v>
      </c>
      <c r="AI5" s="50" t="s">
        <v>181</v>
      </c>
      <c r="AJ5" s="50" t="s">
        <v>182</v>
      </c>
      <c r="AK5" s="50" t="s">
        <v>183</v>
      </c>
      <c r="AL5" s="1"/>
      <c r="AM5" s="1"/>
      <c r="AN5" s="1"/>
      <c r="AO5" s="1"/>
      <c r="AP5" s="1"/>
      <c r="AQ5" s="1"/>
    </row>
    <row r="6" customFormat="false" ht="15" hidden="false" customHeight="false" outlineLevel="0" collapsed="false">
      <c r="A6" s="1"/>
      <c r="B6" s="51" t="n">
        <f aca="false">1</f>
        <v>1</v>
      </c>
      <c r="C6" s="52" t="n">
        <f aca="false">EDATE(Premissas!$C$7,B6-1)</f>
        <v>46296</v>
      </c>
      <c r="D6" s="53" t="n">
        <f aca="false">Premissas!$F$19*(1+Premissas!$F$20)^(B6-1)</f>
        <v>8</v>
      </c>
      <c r="E6" s="54" t="n">
        <f aca="false">IFERROR(D6/Premissas!$F$25,0)</f>
        <v>40</v>
      </c>
      <c r="F6" s="53" t="n">
        <f aca="false">(N(H5)+N(J5))*Premissas!$F$21+AI6</f>
        <v>0</v>
      </c>
      <c r="G6" s="55" t="n">
        <f aca="false">H6+I6+J6+K6</f>
        <v>8</v>
      </c>
      <c r="H6" s="53" t="n">
        <f aca="false">N(H5)*(1-Premissas!$F$21)+AC6</f>
        <v>4.8</v>
      </c>
      <c r="I6" s="53" t="n">
        <f aca="false">SUM(INDEX($AG$6:$AG$29,MAX(1,B6-11)):INDEX($AG$6:$AG$29,B6))</f>
        <v>1.2</v>
      </c>
      <c r="J6" s="53" t="n">
        <f aca="false">N(J5)*(1-Premissas!$F$21)+AE6</f>
        <v>1.6</v>
      </c>
      <c r="K6" s="53" t="n">
        <f aca="false">SUM(INDEX($AH$6:$AH$29,MAX(1,B6-11)):INDEX($AH$6:$AH$29,B6))</f>
        <v>0.4</v>
      </c>
      <c r="L6" s="56" t="n">
        <f aca="false">H6*Premissas!$C$13+I6*Premissas!$F$13/12+J6*Premissas!$C$14+K6*Premissas!$F$14/12</f>
        <v>505.746</v>
      </c>
      <c r="M6" s="40" t="n">
        <f aca="false">L6*12</f>
        <v>6068.952</v>
      </c>
      <c r="N6" s="40" t="n">
        <f aca="false">IFERROR(L6/G6,0)</f>
        <v>63.21825</v>
      </c>
      <c r="O6" s="40" t="n">
        <f aca="false">L6*Premissas!$C$30</f>
        <v>30.34476</v>
      </c>
      <c r="P6" s="40" t="n">
        <f aca="false">L6*Premissas!$C$28+AJ6*Premissas!$C$29</f>
        <v>21.62111</v>
      </c>
      <c r="Q6" s="40" t="n">
        <f aca="false">G6*Premissas!$C$31</f>
        <v>4</v>
      </c>
      <c r="R6" s="40" t="n">
        <f aca="false">L6-O6-P6-Q6</f>
        <v>449.78013</v>
      </c>
      <c r="S6" s="57" t="n">
        <f aca="false">IFERROR(R6/L6,0)</f>
        <v>0.889339965120832</v>
      </c>
      <c r="T6" s="40" t="n">
        <f aca="false">SUMPRODUCT(Premissas!$C$42:$C$61,--(Premissas!$D$42:$D$61&lt;=B6))</f>
        <v>2195</v>
      </c>
      <c r="U6" s="40" t="n">
        <f aca="false">Premissas!$C$34*(1+Premissas!$C$35)^(B6-1)</f>
        <v>1500</v>
      </c>
      <c r="V6" s="40" t="n">
        <f aca="false">D6*Premissas!$C$36*Premissas!$C$37</f>
        <v>48</v>
      </c>
      <c r="W6" s="40" t="n">
        <f aca="false">O6+P6+Q6+T6+U6+V6</f>
        <v>3798.96587</v>
      </c>
      <c r="X6" s="56" t="n">
        <f aca="false">L6-W6</f>
        <v>-3293.21987</v>
      </c>
      <c r="Y6" s="40" t="n">
        <f aca="false">N(Y5)+X6</f>
        <v>-3293.21987</v>
      </c>
      <c r="Z6" s="40" t="n">
        <f aca="false">IFERROR((U6+V6)/D6,0)</f>
        <v>193.5</v>
      </c>
      <c r="AA6" s="54" t="n">
        <f aca="false">IFERROR(T6/(R6/G6),0)</f>
        <v>39.0412978003275</v>
      </c>
      <c r="AB6" s="1"/>
      <c r="AC6" s="58" t="n">
        <f aca="false">D6*(1-Premissas!$F$23)*(1-Premissas!$F$24)</f>
        <v>4.8</v>
      </c>
      <c r="AD6" s="58" t="n">
        <f aca="false">D6*(1-Premissas!$F$23)*Premissas!$F$24</f>
        <v>1.2</v>
      </c>
      <c r="AE6" s="58" t="n">
        <f aca="false">D6*Premissas!$F$23*(1-Premissas!$F$24)</f>
        <v>1.6</v>
      </c>
      <c r="AF6" s="58" t="n">
        <f aca="false">D6*Premissas!$F$23*Premissas!$F$24</f>
        <v>0.4</v>
      </c>
      <c r="AG6" s="58" t="n">
        <f aca="false">AD6+IF(B6&gt;12,INDEX($AD$6:$AD$29,B6-12)*Premissas!$F$22,0)</f>
        <v>1.2</v>
      </c>
      <c r="AH6" s="58" t="n">
        <f aca="false">AF6+IF(B6&gt;12,INDEX($AF$6:$AF$29,B6-12)*Premissas!$F$22,0)</f>
        <v>0.4</v>
      </c>
      <c r="AI6" s="58" t="n">
        <f aca="false">IF(B6&gt;12,(INDEX($AD$6:$AD$29,B6-12)+INDEX($AF$6:$AF$29,B6-12))*(1-Premissas!$F$22),0)</f>
        <v>0</v>
      </c>
      <c r="AJ6" s="58" t="n">
        <f aca="false">H6+J6+AG6+AH6</f>
        <v>8</v>
      </c>
      <c r="AK6" s="59" t="str">
        <f aca="false">IF(X6&gt;0,B6,"")</f>
        <v/>
      </c>
      <c r="AL6" s="1"/>
      <c r="AM6" s="1"/>
      <c r="AN6" s="1"/>
      <c r="AO6" s="1"/>
      <c r="AP6" s="1"/>
      <c r="AQ6" s="1"/>
    </row>
    <row r="7" customFormat="false" ht="15" hidden="false" customHeight="false" outlineLevel="0" collapsed="false">
      <c r="A7" s="1"/>
      <c r="B7" s="51" t="n">
        <f aca="false">B6+1</f>
        <v>2</v>
      </c>
      <c r="C7" s="52" t="n">
        <f aca="false">EDATE(Premissas!$C$7,B7-1)</f>
        <v>46327</v>
      </c>
      <c r="D7" s="53" t="n">
        <f aca="false">Premissas!$F$19*(1+Premissas!$F$20)^(B7-1)</f>
        <v>8.56</v>
      </c>
      <c r="E7" s="54" t="n">
        <f aca="false">IFERROR(D7/Premissas!$F$25,0)</f>
        <v>42.8</v>
      </c>
      <c r="F7" s="53" t="n">
        <f aca="false">(N(H6)+N(J6))*Premissas!$F$21+AI7</f>
        <v>0.32</v>
      </c>
      <c r="G7" s="55" t="n">
        <f aca="false">H7+I7+J7+K7</f>
        <v>16.24</v>
      </c>
      <c r="H7" s="53" t="n">
        <f aca="false">N(H6)*(1-Premissas!$F$21)+AC7</f>
        <v>9.696</v>
      </c>
      <c r="I7" s="53" t="n">
        <f aca="false">SUM(INDEX($AG$6:$AG$29,MAX(1,B7-11)):INDEX($AG$6:$AG$29,B7))</f>
        <v>2.484</v>
      </c>
      <c r="J7" s="53" t="n">
        <f aca="false">N(J6)*(1-Premissas!$F$21)+AE7</f>
        <v>3.232</v>
      </c>
      <c r="K7" s="53" t="n">
        <f aca="false">SUM(INDEX($AH$6:$AH$29,MAX(1,B7-11)):INDEX($AH$6:$AH$29,B7))</f>
        <v>0.828</v>
      </c>
      <c r="L7" s="56" t="n">
        <f aca="false">H7*Premissas!$C$13+I7*Premissas!$F$13/12+J7*Premissas!$C$14+K7*Premissas!$F$14/12</f>
        <v>1025.96622</v>
      </c>
      <c r="M7" s="40" t="n">
        <f aca="false">L7*12</f>
        <v>12311.59464</v>
      </c>
      <c r="N7" s="40" t="n">
        <f aca="false">IFERROR(L7/G7,0)</f>
        <v>63.1752598522167</v>
      </c>
      <c r="O7" s="40" t="n">
        <f aca="false">L7*Premissas!$C$30</f>
        <v>61.5579732</v>
      </c>
      <c r="P7" s="40" t="n">
        <f aca="false">L7*Premissas!$C$28+AJ7*Premissas!$C$29</f>
        <v>43.0824177</v>
      </c>
      <c r="Q7" s="40" t="n">
        <f aca="false">G7*Premissas!$C$31</f>
        <v>8.12</v>
      </c>
      <c r="R7" s="40" t="n">
        <f aca="false">L7-O7-P7-Q7</f>
        <v>913.2058291</v>
      </c>
      <c r="S7" s="57" t="n">
        <f aca="false">IFERROR(R7/L7,0)</f>
        <v>0.890093466332644</v>
      </c>
      <c r="T7" s="40" t="n">
        <f aca="false">SUMPRODUCT(Premissas!$C$42:$C$61,--(Premissas!$D$42:$D$61&lt;=B7))</f>
        <v>2195</v>
      </c>
      <c r="U7" s="40" t="n">
        <f aca="false">Premissas!$C$34*(1+Premissas!$C$35)^(B7-1)</f>
        <v>1545</v>
      </c>
      <c r="V7" s="40" t="n">
        <f aca="false">D7*Premissas!$C$36*Premissas!$C$37</f>
        <v>51.36</v>
      </c>
      <c r="W7" s="40" t="n">
        <f aca="false">O7+P7+Q7+T7+U7+V7</f>
        <v>3904.1203909</v>
      </c>
      <c r="X7" s="56" t="n">
        <f aca="false">L7-W7</f>
        <v>-2878.1541709</v>
      </c>
      <c r="Y7" s="40" t="n">
        <f aca="false">N(Y6)+X7</f>
        <v>-6171.3740409</v>
      </c>
      <c r="Z7" s="40" t="n">
        <f aca="false">IFERROR((U7+V7)/D7,0)</f>
        <v>186.490654205607</v>
      </c>
      <c r="AA7" s="54" t="n">
        <f aca="false">IFERROR(T7/(R7/G7),0)</f>
        <v>39.0347924466616</v>
      </c>
      <c r="AB7" s="1"/>
      <c r="AC7" s="58" t="n">
        <f aca="false">D7*(1-Premissas!$F$23)*(1-Premissas!$F$24)</f>
        <v>5.136</v>
      </c>
      <c r="AD7" s="58" t="n">
        <f aca="false">D7*(1-Premissas!$F$23)*Premissas!$F$24</f>
        <v>1.284</v>
      </c>
      <c r="AE7" s="58" t="n">
        <f aca="false">D7*Premissas!$F$23*(1-Premissas!$F$24)</f>
        <v>1.712</v>
      </c>
      <c r="AF7" s="58" t="n">
        <f aca="false">D7*Premissas!$F$23*Premissas!$F$24</f>
        <v>0.428</v>
      </c>
      <c r="AG7" s="58" t="n">
        <f aca="false">AD7+IF(B7&gt;12,INDEX($AD$6:$AD$29,B7-12)*Premissas!$F$22,0)</f>
        <v>1.284</v>
      </c>
      <c r="AH7" s="58" t="n">
        <f aca="false">AF7+IF(B7&gt;12,INDEX($AF$6:$AF$29,B7-12)*Premissas!$F$22,0)</f>
        <v>0.428</v>
      </c>
      <c r="AI7" s="58" t="n">
        <f aca="false">IF(B7&gt;12,(INDEX($AD$6:$AD$29,B7-12)+INDEX($AF$6:$AF$29,B7-12))*(1-Premissas!$F$22),0)</f>
        <v>0</v>
      </c>
      <c r="AJ7" s="58" t="n">
        <f aca="false">H7+J7+AG7+AH7</f>
        <v>14.64</v>
      </c>
      <c r="AK7" s="59" t="str">
        <f aca="false">IF(X7&gt;0,B7,"")</f>
        <v/>
      </c>
      <c r="AL7" s="1"/>
      <c r="AM7" s="1"/>
      <c r="AN7" s="1"/>
      <c r="AO7" s="1"/>
      <c r="AP7" s="1"/>
      <c r="AQ7" s="1"/>
    </row>
    <row r="8" customFormat="false" ht="15" hidden="false" customHeight="false" outlineLevel="0" collapsed="false">
      <c r="A8" s="1"/>
      <c r="B8" s="51" t="n">
        <f aca="false">B7+1</f>
        <v>3</v>
      </c>
      <c r="C8" s="52" t="n">
        <f aca="false">EDATE(Premissas!$C$7,B8-1)</f>
        <v>46357</v>
      </c>
      <c r="D8" s="53" t="n">
        <f aca="false">Premissas!$F$19*(1+Premissas!$F$20)^(B8-1)</f>
        <v>9.1592</v>
      </c>
      <c r="E8" s="54" t="n">
        <f aca="false">IFERROR(D8/Premissas!$F$25,0)</f>
        <v>45.796</v>
      </c>
      <c r="F8" s="53" t="n">
        <f aca="false">(N(H7)+N(J7))*Premissas!$F$21+AI8</f>
        <v>0.6464</v>
      </c>
      <c r="G8" s="55" t="n">
        <f aca="false">H8+I8+J8+K8</f>
        <v>24.7528</v>
      </c>
      <c r="H8" s="53" t="n">
        <f aca="false">N(H7)*(1-Premissas!$F$21)+AC8</f>
        <v>14.70672</v>
      </c>
      <c r="I8" s="53" t="n">
        <f aca="false">SUM(INDEX($AG$6:$AG$29,MAX(1,B8-11)):INDEX($AG$6:$AG$29,B8))</f>
        <v>3.85788</v>
      </c>
      <c r="J8" s="53" t="n">
        <f aca="false">N(J7)*(1-Premissas!$F$21)+AE8</f>
        <v>4.90224</v>
      </c>
      <c r="K8" s="53" t="n">
        <f aca="false">SUM(INDEX($AH$6:$AH$29,MAX(1,B8-11)):INDEX($AH$6:$AH$29,B8))</f>
        <v>1.28596</v>
      </c>
      <c r="L8" s="56" t="n">
        <f aca="false">H8*Premissas!$C$13+I8*Premissas!$F$13/12+J8*Premissas!$C$14+K8*Premissas!$F$14/12</f>
        <v>1562.7202554</v>
      </c>
      <c r="M8" s="40" t="n">
        <f aca="false">L8*12</f>
        <v>18752.6430648</v>
      </c>
      <c r="N8" s="40" t="n">
        <f aca="false">IFERROR(L8/G8,0)</f>
        <v>63.1330700122814</v>
      </c>
      <c r="O8" s="40" t="n">
        <f aca="false">L8*Premissas!$C$30</f>
        <v>93.763215324</v>
      </c>
      <c r="P8" s="40" t="n">
        <f aca="false">L8*Premissas!$C$28+AJ8*Premissas!$C$29</f>
        <v>65.201200939</v>
      </c>
      <c r="Q8" s="40" t="n">
        <f aca="false">G8*Premissas!$C$31</f>
        <v>12.3764</v>
      </c>
      <c r="R8" s="40" t="n">
        <f aca="false">L8-O8-P8-Q8</f>
        <v>1391.379439137</v>
      </c>
      <c r="S8" s="57" t="n">
        <f aca="false">IFERROR(R8/L8,0)</f>
        <v>0.890357333200917</v>
      </c>
      <c r="T8" s="40" t="n">
        <f aca="false">SUMPRODUCT(Premissas!$C$42:$C$61,--(Premissas!$D$42:$D$61&lt;=B8))</f>
        <v>2195</v>
      </c>
      <c r="U8" s="40" t="n">
        <f aca="false">Premissas!$C$34*(1+Premissas!$C$35)^(B8-1)</f>
        <v>1591.35</v>
      </c>
      <c r="V8" s="40" t="n">
        <f aca="false">D8*Premissas!$C$36*Premissas!$C$37</f>
        <v>54.9552</v>
      </c>
      <c r="W8" s="40" t="n">
        <f aca="false">O8+P8+Q8+T8+U8+V8</f>
        <v>4012.646016263</v>
      </c>
      <c r="X8" s="56" t="n">
        <f aca="false">L8-W8</f>
        <v>-2449.925760863</v>
      </c>
      <c r="Y8" s="40" t="n">
        <f aca="false">N(Y7)+X8</f>
        <v>-8621.299801763</v>
      </c>
      <c r="Z8" s="40" t="n">
        <f aca="false">IFERROR((U8+V8)/D8,0)</f>
        <v>179.743340029697</v>
      </c>
      <c r="AA8" s="54" t="n">
        <f aca="false">IFERROR(T8/(R8/G8),0)</f>
        <v>39.0493020607661</v>
      </c>
      <c r="AB8" s="1"/>
      <c r="AC8" s="58" t="n">
        <f aca="false">D8*(1-Premissas!$F$23)*(1-Premissas!$F$24)</f>
        <v>5.49552</v>
      </c>
      <c r="AD8" s="58" t="n">
        <f aca="false">D8*(1-Premissas!$F$23)*Premissas!$F$24</f>
        <v>1.37388</v>
      </c>
      <c r="AE8" s="58" t="n">
        <f aca="false">D8*Premissas!$F$23*(1-Premissas!$F$24)</f>
        <v>1.83184</v>
      </c>
      <c r="AF8" s="58" t="n">
        <f aca="false">D8*Premissas!$F$23*Premissas!$F$24</f>
        <v>0.45796</v>
      </c>
      <c r="AG8" s="58" t="n">
        <f aca="false">AD8+IF(B8&gt;12,INDEX($AD$6:$AD$29,B8-12)*Premissas!$F$22,0)</f>
        <v>1.37388</v>
      </c>
      <c r="AH8" s="58" t="n">
        <f aca="false">AF8+IF(B8&gt;12,INDEX($AF$6:$AF$29,B8-12)*Premissas!$F$22,0)</f>
        <v>0.45796</v>
      </c>
      <c r="AI8" s="58" t="n">
        <f aca="false">IF(B8&gt;12,(INDEX($AD$6:$AD$29,B8-12)+INDEX($AF$6:$AF$29,B8-12))*(1-Premissas!$F$22),0)</f>
        <v>0</v>
      </c>
      <c r="AJ8" s="58" t="n">
        <f aca="false">H8+J8+AG8+AH8</f>
        <v>21.4408</v>
      </c>
      <c r="AK8" s="59" t="str">
        <f aca="false">IF(X8&gt;0,B8,"")</f>
        <v/>
      </c>
      <c r="AL8" s="1"/>
      <c r="AM8" s="1"/>
      <c r="AN8" s="1"/>
      <c r="AO8" s="1"/>
      <c r="AP8" s="1"/>
      <c r="AQ8" s="1"/>
    </row>
    <row r="9" customFormat="false" ht="15" hidden="false" customHeight="false" outlineLevel="0" collapsed="false">
      <c r="A9" s="1"/>
      <c r="B9" s="51" t="n">
        <f aca="false">B8+1</f>
        <v>4</v>
      </c>
      <c r="C9" s="52" t="n">
        <f aca="false">EDATE(Premissas!$C$7,B9-1)</f>
        <v>46388</v>
      </c>
      <c r="D9" s="53" t="n">
        <f aca="false">Premissas!$F$19*(1+Premissas!$F$20)^(B9-1)</f>
        <v>9.800344</v>
      </c>
      <c r="E9" s="54" t="n">
        <f aca="false">IFERROR(D9/Premissas!$F$25,0)</f>
        <v>49.00172</v>
      </c>
      <c r="F9" s="53" t="n">
        <f aca="false">(N(H8)+N(J8))*Premissas!$F$21+AI9</f>
        <v>0.980448</v>
      </c>
      <c r="G9" s="55" t="n">
        <f aca="false">H9+I9+J9+K9</f>
        <v>33.572696</v>
      </c>
      <c r="H9" s="53" t="n">
        <f aca="false">N(H8)*(1-Premissas!$F$21)+AC9</f>
        <v>19.8515904</v>
      </c>
      <c r="I9" s="53" t="n">
        <f aca="false">SUM(INDEX($AG$6:$AG$29,MAX(1,B9-11)):INDEX($AG$6:$AG$29,B9))</f>
        <v>5.3279316</v>
      </c>
      <c r="J9" s="53" t="n">
        <f aca="false">N(J8)*(1-Premissas!$F$21)+AE9</f>
        <v>6.6171968</v>
      </c>
      <c r="K9" s="53" t="n">
        <f aca="false">SUM(INDEX($AH$6:$AH$29,MAX(1,B9-11)):INDEX($AH$6:$AH$29,B9))</f>
        <v>1.7759772</v>
      </c>
      <c r="L9" s="56" t="n">
        <f aca="false">H9*Premissas!$C$13+I9*Premissas!$F$13/12+J9*Premissas!$C$14+K9*Premissas!$F$14/12</f>
        <v>2118.159553278</v>
      </c>
      <c r="M9" s="40" t="n">
        <f aca="false">L9*12</f>
        <v>25417.914639336</v>
      </c>
      <c r="N9" s="40" t="n">
        <f aca="false">IFERROR(L9/G9,0)</f>
        <v>63.0917324387055</v>
      </c>
      <c r="O9" s="40" t="n">
        <f aca="false">L9*Premissas!$C$30</f>
        <v>127.08957319668</v>
      </c>
      <c r="P9" s="40" t="n">
        <f aca="false">L9*Premissas!$C$28+AJ9*Premissas!$C$29</f>
        <v>88.06572380473</v>
      </c>
      <c r="Q9" s="40" t="n">
        <f aca="false">G9*Premissas!$C$31</f>
        <v>16.786348</v>
      </c>
      <c r="R9" s="40" t="n">
        <f aca="false">L9-O9-P9-Q9</f>
        <v>1886.21790827659</v>
      </c>
      <c r="S9" s="57" t="n">
        <f aca="false">IFERROR(R9/L9,0)</f>
        <v>0.890498501568277</v>
      </c>
      <c r="T9" s="40" t="n">
        <f aca="false">SUMPRODUCT(Premissas!$C$42:$C$61,--(Premissas!$D$42:$D$61&lt;=B9))</f>
        <v>2195</v>
      </c>
      <c r="U9" s="40" t="n">
        <f aca="false">Premissas!$C$34*(1+Premissas!$C$35)^(B9-1)</f>
        <v>1639.0905</v>
      </c>
      <c r="V9" s="40" t="n">
        <f aca="false">D9*Premissas!$C$36*Premissas!$C$37</f>
        <v>58.802064</v>
      </c>
      <c r="W9" s="40" t="n">
        <f aca="false">O9+P9+Q9+T9+U9+V9</f>
        <v>4124.83420900141</v>
      </c>
      <c r="X9" s="56" t="n">
        <f aca="false">L9-W9</f>
        <v>-2006.67465572341</v>
      </c>
      <c r="Y9" s="40" t="n">
        <f aca="false">N(Y8)+X9</f>
        <v>-10627.9744574864</v>
      </c>
      <c r="Z9" s="40" t="n">
        <f aca="false">IFERROR((U9+V9)/D9,0)</f>
        <v>173.248261897746</v>
      </c>
      <c r="AA9" s="54" t="n">
        <f aca="false">IFERROR(T9/(R9/G9),0)</f>
        <v>39.068692645025</v>
      </c>
      <c r="AB9" s="1"/>
      <c r="AC9" s="58" t="n">
        <f aca="false">D9*(1-Premissas!$F$23)*(1-Premissas!$F$24)</f>
        <v>5.8802064</v>
      </c>
      <c r="AD9" s="58" t="n">
        <f aca="false">D9*(1-Premissas!$F$23)*Premissas!$F$24</f>
        <v>1.4700516</v>
      </c>
      <c r="AE9" s="58" t="n">
        <f aca="false">D9*Premissas!$F$23*(1-Premissas!$F$24)</f>
        <v>1.9600688</v>
      </c>
      <c r="AF9" s="58" t="n">
        <f aca="false">D9*Premissas!$F$23*Premissas!$F$24</f>
        <v>0.4900172</v>
      </c>
      <c r="AG9" s="58" t="n">
        <f aca="false">AD9+IF(B9&gt;12,INDEX($AD$6:$AD$29,B9-12)*Premissas!$F$22,0)</f>
        <v>1.4700516</v>
      </c>
      <c r="AH9" s="58" t="n">
        <f aca="false">AF9+IF(B9&gt;12,INDEX($AF$6:$AF$29,B9-12)*Premissas!$F$22,0)</f>
        <v>0.4900172</v>
      </c>
      <c r="AI9" s="58" t="n">
        <f aca="false">IF(B9&gt;12,(INDEX($AD$6:$AD$29,B9-12)+INDEX($AF$6:$AF$29,B9-12))*(1-Premissas!$F$22),0)</f>
        <v>0</v>
      </c>
      <c r="AJ9" s="58" t="n">
        <f aca="false">H9+J9+AG9+AH9</f>
        <v>28.428856</v>
      </c>
      <c r="AK9" s="59" t="str">
        <f aca="false">IF(X9&gt;0,B9,"")</f>
        <v/>
      </c>
      <c r="AL9" s="1"/>
      <c r="AM9" s="1"/>
      <c r="AN9" s="1"/>
      <c r="AO9" s="1"/>
      <c r="AP9" s="1"/>
      <c r="AQ9" s="1"/>
    </row>
    <row r="10" customFormat="false" ht="15" hidden="false" customHeight="false" outlineLevel="0" collapsed="false">
      <c r="A10" s="1"/>
      <c r="B10" s="51" t="n">
        <f aca="false">B9+1</f>
        <v>5</v>
      </c>
      <c r="C10" s="52" t="n">
        <f aca="false">EDATE(Premissas!$C$7,B10-1)</f>
        <v>46419</v>
      </c>
      <c r="D10" s="53" t="n">
        <f aca="false">Premissas!$F$19*(1+Premissas!$F$20)^(B10-1)</f>
        <v>10.48636808</v>
      </c>
      <c r="E10" s="54" t="n">
        <f aca="false">IFERROR(D10/Premissas!$F$25,0)</f>
        <v>52.4318404</v>
      </c>
      <c r="F10" s="53" t="n">
        <f aca="false">(N(H9)+N(J9))*Premissas!$F$21+AI10</f>
        <v>1.32343936</v>
      </c>
      <c r="G10" s="55" t="n">
        <f aca="false">H10+I10+J10+K10</f>
        <v>42.73562472</v>
      </c>
      <c r="H10" s="53" t="n">
        <f aca="false">N(H9)*(1-Premissas!$F$21)+AC10</f>
        <v>25.150831728</v>
      </c>
      <c r="I10" s="53" t="n">
        <f aca="false">SUM(INDEX($AG$6:$AG$29,MAX(1,B10-11)):INDEX($AG$6:$AG$29,B10))</f>
        <v>6.900886812</v>
      </c>
      <c r="J10" s="53" t="n">
        <f aca="false">N(J9)*(1-Premissas!$F$21)+AE10</f>
        <v>8.383610576</v>
      </c>
      <c r="K10" s="53" t="n">
        <f aca="false">SUM(INDEX($AH$6:$AH$29,MAX(1,B10-11)):INDEX($AH$6:$AH$29,B10))</f>
        <v>2.300295604</v>
      </c>
      <c r="L10" s="56" t="n">
        <f aca="false">H10*Premissas!$C$13+I10*Premissas!$F$13/12+J10*Premissas!$C$14+K10*Premissas!$F$14/12</f>
        <v>2694.53645800746</v>
      </c>
      <c r="M10" s="40" t="n">
        <f aca="false">L10*12</f>
        <v>32334.4374960895</v>
      </c>
      <c r="N10" s="40" t="n">
        <f aca="false">IFERROR(L10/G10,0)</f>
        <v>63.0512944565997</v>
      </c>
      <c r="O10" s="40" t="n">
        <f aca="false">L10*Premissas!$C$30</f>
        <v>161.672187480448</v>
      </c>
      <c r="P10" s="40" t="n">
        <f aca="false">L10*Premissas!$C$28+AJ10*Premissas!$C$29</f>
        <v>111.768316831061</v>
      </c>
      <c r="Q10" s="40" t="n">
        <f aca="false">G10*Premissas!$C$31</f>
        <v>21.36781236</v>
      </c>
      <c r="R10" s="40" t="n">
        <f aca="false">L10-O10-P10-Q10</f>
        <v>2399.72814133595</v>
      </c>
      <c r="S10" s="57" t="n">
        <f aca="false">IFERROR(R10/L10,0)</f>
        <v>0.890590340392161</v>
      </c>
      <c r="T10" s="40" t="n">
        <f aca="false">SUMPRODUCT(Premissas!$C$42:$C$61,--(Premissas!$D$42:$D$61&lt;=B10))</f>
        <v>2195</v>
      </c>
      <c r="U10" s="40" t="n">
        <f aca="false">Premissas!$C$34*(1+Premissas!$C$35)^(B10-1)</f>
        <v>1688.263215</v>
      </c>
      <c r="V10" s="40" t="n">
        <f aca="false">D10*Premissas!$C$36*Premissas!$C$37</f>
        <v>62.91820848</v>
      </c>
      <c r="W10" s="40" t="n">
        <f aca="false">O10+P10+Q10+T10+U10+V10</f>
        <v>4240.98974015151</v>
      </c>
      <c r="X10" s="56" t="n">
        <f aca="false">L10-W10</f>
        <v>-1546.45328214405</v>
      </c>
      <c r="Y10" s="40" t="n">
        <f aca="false">N(Y9)+X10</f>
        <v>-12174.4277396305</v>
      </c>
      <c r="Z10" s="40" t="n">
        <f aca="false">IFERROR((U10+V10)/D10,0)</f>
        <v>166.995990424933</v>
      </c>
      <c r="AA10" s="54" t="n">
        <f aca="false">IFERROR(T10/(R10/G10),0)</f>
        <v>39.0897179745444</v>
      </c>
      <c r="AB10" s="1"/>
      <c r="AC10" s="58" t="n">
        <f aca="false">D10*(1-Premissas!$F$23)*(1-Premissas!$F$24)</f>
        <v>6.291820848</v>
      </c>
      <c r="AD10" s="58" t="n">
        <f aca="false">D10*(1-Premissas!$F$23)*Premissas!$F$24</f>
        <v>1.572955212</v>
      </c>
      <c r="AE10" s="58" t="n">
        <f aca="false">D10*Premissas!$F$23*(1-Premissas!$F$24)</f>
        <v>2.097273616</v>
      </c>
      <c r="AF10" s="58" t="n">
        <f aca="false">D10*Premissas!$F$23*Premissas!$F$24</f>
        <v>0.524318404</v>
      </c>
      <c r="AG10" s="58" t="n">
        <f aca="false">AD10+IF(B10&gt;12,INDEX($AD$6:$AD$29,B10-12)*Premissas!$F$22,0)</f>
        <v>1.572955212</v>
      </c>
      <c r="AH10" s="58" t="n">
        <f aca="false">AF10+IF(B10&gt;12,INDEX($AF$6:$AF$29,B10-12)*Premissas!$F$22,0)</f>
        <v>0.524318404</v>
      </c>
      <c r="AI10" s="58" t="n">
        <f aca="false">IF(B10&gt;12,(INDEX($AD$6:$AD$29,B10-12)+INDEX($AF$6:$AF$29,B10-12))*(1-Premissas!$F$22),0)</f>
        <v>0</v>
      </c>
      <c r="AJ10" s="58" t="n">
        <f aca="false">H10+J10+AG10+AH10</f>
        <v>35.63171592</v>
      </c>
      <c r="AK10" s="59" t="str">
        <f aca="false">IF(X10&gt;0,B10,"")</f>
        <v/>
      </c>
      <c r="AL10" s="1"/>
      <c r="AM10" s="1"/>
      <c r="AN10" s="1"/>
      <c r="AO10" s="1"/>
      <c r="AP10" s="1"/>
      <c r="AQ10" s="1"/>
    </row>
    <row r="11" customFormat="false" ht="15" hidden="false" customHeight="false" outlineLevel="0" collapsed="false">
      <c r="A11" s="1"/>
      <c r="B11" s="51" t="n">
        <f aca="false">B10+1</f>
        <v>6</v>
      </c>
      <c r="C11" s="52" t="n">
        <f aca="false">EDATE(Premissas!$C$7,B11-1)</f>
        <v>46447</v>
      </c>
      <c r="D11" s="53" t="n">
        <f aca="false">Premissas!$F$19*(1+Premissas!$F$20)^(B11-1)</f>
        <v>11.2204138456</v>
      </c>
      <c r="E11" s="54" t="n">
        <f aca="false">IFERROR(D11/Premissas!$F$25,0)</f>
        <v>56.102069228</v>
      </c>
      <c r="F11" s="53" t="n">
        <f aca="false">(N(H10)+N(J10))*Premissas!$F$21+AI11</f>
        <v>1.6767221152</v>
      </c>
      <c r="G11" s="55" t="n">
        <f aca="false">H11+I11+J11+K11</f>
        <v>52.2793164504</v>
      </c>
      <c r="H11" s="53" t="n">
        <f aca="false">N(H10)*(1-Premissas!$F$21)+AC11</f>
        <v>30.62553844896</v>
      </c>
      <c r="I11" s="53" t="n">
        <f aca="false">SUM(INDEX($AG$6:$AG$29,MAX(1,B11-11)):INDEX($AG$6:$AG$29,B11))</f>
        <v>8.58394888884</v>
      </c>
      <c r="J11" s="53" t="n">
        <f aca="false">N(J10)*(1-Premissas!$F$21)+AE11</f>
        <v>10.20851281632</v>
      </c>
      <c r="K11" s="53" t="n">
        <f aca="false">SUM(INDEX($AH$6:$AH$29,MAX(1,B11-11)):INDEX($AH$6:$AH$29,B11))</f>
        <v>2.86131629628</v>
      </c>
      <c r="L11" s="56" t="n">
        <f aca="false">H11*Premissas!$C$13+I11*Premissas!$F$13/12+J11*Premissas!$C$14+K11*Premissas!$F$14/12</f>
        <v>3294.21375926798</v>
      </c>
      <c r="M11" s="40" t="n">
        <f aca="false">L11*12</f>
        <v>39530.5651112158</v>
      </c>
      <c r="N11" s="40" t="n">
        <f aca="false">IFERROR(L11/G11,0)</f>
        <v>63.0117986028637</v>
      </c>
      <c r="O11" s="40" t="n">
        <f aca="false">L11*Premissas!$C$30</f>
        <v>197.652825556079</v>
      </c>
      <c r="P11" s="40" t="n">
        <f aca="false">L11*Premissas!$C$28+AJ11*Premissas!$C$29</f>
        <v>136.405767251235</v>
      </c>
      <c r="Q11" s="40" t="n">
        <f aca="false">G11*Premissas!$C$31</f>
        <v>26.1396582252</v>
      </c>
      <c r="R11" s="40" t="n">
        <f aca="false">L11-O11-P11-Q11</f>
        <v>2934.01550823547</v>
      </c>
      <c r="S11" s="57" t="n">
        <f aca="false">IFERROR(R11/L11,0)</f>
        <v>0.890657292648624</v>
      </c>
      <c r="T11" s="40" t="n">
        <f aca="false">SUMPRODUCT(Premissas!$C$42:$C$61,--(Premissas!$D$42:$D$61&lt;=B11))</f>
        <v>2195</v>
      </c>
      <c r="U11" s="40" t="n">
        <f aca="false">Premissas!$C$34*(1+Premissas!$C$35)^(B11-1)</f>
        <v>1738.91111145</v>
      </c>
      <c r="V11" s="40" t="n">
        <f aca="false">D11*Premissas!$C$36*Premissas!$C$37</f>
        <v>67.3224830736</v>
      </c>
      <c r="W11" s="40" t="n">
        <f aca="false">O11+P11+Q11+T11+U11+V11</f>
        <v>4361.43184555611</v>
      </c>
      <c r="X11" s="56" t="n">
        <f aca="false">L11-W11</f>
        <v>-1067.21808628813</v>
      </c>
      <c r="Y11" s="40" t="n">
        <f aca="false">N(Y10)+X11</f>
        <v>-13241.6458259186</v>
      </c>
      <c r="Z11" s="40" t="n">
        <f aca="false">IFERROR((U11+V11)/D11,0)</f>
        <v>160.977448726804</v>
      </c>
      <c r="AA11" s="54" t="n">
        <f aca="false">IFERROR(T11/(R11/G11),0)</f>
        <v>39.111279162134</v>
      </c>
      <c r="AB11" s="1"/>
      <c r="AC11" s="58" t="n">
        <f aca="false">D11*(1-Premissas!$F$23)*(1-Premissas!$F$24)</f>
        <v>6.73224830736</v>
      </c>
      <c r="AD11" s="58" t="n">
        <f aca="false">D11*(1-Premissas!$F$23)*Premissas!$F$24</f>
        <v>1.68306207684</v>
      </c>
      <c r="AE11" s="58" t="n">
        <f aca="false">D11*Premissas!$F$23*(1-Premissas!$F$24)</f>
        <v>2.24408276912</v>
      </c>
      <c r="AF11" s="58" t="n">
        <f aca="false">D11*Premissas!$F$23*Premissas!$F$24</f>
        <v>0.56102069228</v>
      </c>
      <c r="AG11" s="58" t="n">
        <f aca="false">AD11+IF(B11&gt;12,INDEX($AD$6:$AD$29,B11-12)*Premissas!$F$22,0)</f>
        <v>1.68306207684</v>
      </c>
      <c r="AH11" s="58" t="n">
        <f aca="false">AF11+IF(B11&gt;12,INDEX($AF$6:$AF$29,B11-12)*Premissas!$F$22,0)</f>
        <v>0.56102069228</v>
      </c>
      <c r="AI11" s="58" t="n">
        <f aca="false">IF(B11&gt;12,(INDEX($AD$6:$AD$29,B11-12)+INDEX($AF$6:$AF$29,B11-12))*(1-Premissas!$F$22),0)</f>
        <v>0</v>
      </c>
      <c r="AJ11" s="58" t="n">
        <f aca="false">H11+J11+AG11+AH11</f>
        <v>43.0781340344</v>
      </c>
      <c r="AK11" s="59" t="str">
        <f aca="false">IF(X11&gt;0,B11,"")</f>
        <v/>
      </c>
      <c r="AL11" s="1"/>
      <c r="AM11" s="1"/>
      <c r="AN11" s="1"/>
      <c r="AO11" s="1"/>
      <c r="AP11" s="1"/>
      <c r="AQ11" s="1"/>
    </row>
    <row r="12" customFormat="false" ht="15" hidden="false" customHeight="false" outlineLevel="0" collapsed="false">
      <c r="A12" s="1"/>
      <c r="B12" s="51" t="n">
        <f aca="false">B11+1</f>
        <v>7</v>
      </c>
      <c r="C12" s="52" t="n">
        <f aca="false">EDATE(Premissas!$C$7,B12-1)</f>
        <v>46478</v>
      </c>
      <c r="D12" s="53" t="n">
        <f aca="false">Premissas!$F$19*(1+Premissas!$F$20)^(B12-1)</f>
        <v>12.005842814792</v>
      </c>
      <c r="E12" s="54" t="n">
        <f aca="false">IFERROR(D12/Premissas!$F$25,0)</f>
        <v>60.02921407396</v>
      </c>
      <c r="F12" s="53" t="n">
        <f aca="false">(N(H11)+N(J11))*Premissas!$F$21+AI12</f>
        <v>2.041702563264</v>
      </c>
      <c r="G12" s="55" t="n">
        <f aca="false">H12+I12+J12+K12</f>
        <v>62.243456701928</v>
      </c>
      <c r="H12" s="53" t="n">
        <f aca="false">N(H11)*(1-Premissas!$F$21)+AC12</f>
        <v>36.2977672153872</v>
      </c>
      <c r="I12" s="53" t="n">
        <f aca="false">SUM(INDEX($AG$6:$AG$29,MAX(1,B12-11)):INDEX($AG$6:$AG$29,B12))</f>
        <v>10.3848253110588</v>
      </c>
      <c r="J12" s="53" t="n">
        <f aca="false">N(J11)*(1-Premissas!$F$21)+AE12</f>
        <v>12.0992557384624</v>
      </c>
      <c r="K12" s="53" t="n">
        <f aca="false">SUM(INDEX($AH$6:$AH$29,MAX(1,B12-11)):INDEX($AH$6:$AH$29,B12))</f>
        <v>3.4616084370196</v>
      </c>
      <c r="L12" s="56" t="n">
        <f aca="false">H12*Premissas!$C$13+I12*Premissas!$F$13/12+J12*Premissas!$C$14+K12*Premissas!$F$14/12</f>
        <v>3919.67478415674</v>
      </c>
      <c r="M12" s="40" t="n">
        <f aca="false">L12*12</f>
        <v>47036.0974098809</v>
      </c>
      <c r="N12" s="40" t="n">
        <f aca="false">IFERROR(L12/G12,0)</f>
        <v>62.9732825239336</v>
      </c>
      <c r="O12" s="40" t="n">
        <f aca="false">L12*Premissas!$C$30</f>
        <v>235.180487049404</v>
      </c>
      <c r="P12" s="40" t="n">
        <f aca="false">L12*Premissas!$C$28+AJ12*Premissas!$C$29</f>
        <v>162.079731288722</v>
      </c>
      <c r="Q12" s="40" t="n">
        <f aca="false">G12*Premissas!$C$31</f>
        <v>31.121728350964</v>
      </c>
      <c r="R12" s="40" t="n">
        <f aca="false">L12-O12-P12-Q12</f>
        <v>3491.29283746765</v>
      </c>
      <c r="S12" s="57" t="n">
        <f aca="false">IFERROR(R12/L12,0)</f>
        <v>0.890709824085253</v>
      </c>
      <c r="T12" s="40" t="n">
        <f aca="false">SUMPRODUCT(Premissas!$C$42:$C$61,--(Premissas!$D$42:$D$61&lt;=B12))</f>
        <v>3395</v>
      </c>
      <c r="U12" s="40" t="n">
        <f aca="false">Premissas!$C$34*(1+Premissas!$C$35)^(B12-1)</f>
        <v>1791.0784447935</v>
      </c>
      <c r="V12" s="40" t="n">
        <f aca="false">D12*Premissas!$C$36*Premissas!$C$37</f>
        <v>72.035056888752</v>
      </c>
      <c r="W12" s="40" t="n">
        <f aca="false">O12+P12+Q12+T12+U12+V12</f>
        <v>5686.49544837134</v>
      </c>
      <c r="X12" s="56" t="n">
        <f aca="false">L12-W12</f>
        <v>-1766.8206642146</v>
      </c>
      <c r="Y12" s="40" t="n">
        <f aca="false">N(Y11)+X12</f>
        <v>-15008.4664901332</v>
      </c>
      <c r="Z12" s="40" t="n">
        <f aca="false">IFERROR((U12+V12)/D12,0)</f>
        <v>155.18389924169</v>
      </c>
      <c r="AA12" s="54" t="n">
        <f aca="false">IFERROR(T12/(R12/G12),0)</f>
        <v>60.5267290200499</v>
      </c>
      <c r="AB12" s="1"/>
      <c r="AC12" s="58" t="n">
        <f aca="false">D12*(1-Premissas!$F$23)*(1-Premissas!$F$24)</f>
        <v>7.2035056888752</v>
      </c>
      <c r="AD12" s="58" t="n">
        <f aca="false">D12*(1-Premissas!$F$23)*Premissas!$F$24</f>
        <v>1.8008764222188</v>
      </c>
      <c r="AE12" s="58" t="n">
        <f aca="false">D12*Premissas!$F$23*(1-Premissas!$F$24)</f>
        <v>2.4011685629584</v>
      </c>
      <c r="AF12" s="58" t="n">
        <f aca="false">D12*Premissas!$F$23*Premissas!$F$24</f>
        <v>0.6002921407396</v>
      </c>
      <c r="AG12" s="58" t="n">
        <f aca="false">AD12+IF(B12&gt;12,INDEX($AD$6:$AD$29,B12-12)*Premissas!$F$22,0)</f>
        <v>1.8008764222188</v>
      </c>
      <c r="AH12" s="58" t="n">
        <f aca="false">AF12+IF(B12&gt;12,INDEX($AF$6:$AF$29,B12-12)*Premissas!$F$22,0)</f>
        <v>0.6002921407396</v>
      </c>
      <c r="AI12" s="58" t="n">
        <f aca="false">IF(B12&gt;12,(INDEX($AD$6:$AD$29,B12-12)+INDEX($AF$6:$AF$29,B12-12))*(1-Premissas!$F$22),0)</f>
        <v>0</v>
      </c>
      <c r="AJ12" s="58" t="n">
        <f aca="false">H12+J12+AG12+AH12</f>
        <v>50.798191516808</v>
      </c>
      <c r="AK12" s="59" t="str">
        <f aca="false">IF(X12&gt;0,B12,"")</f>
        <v/>
      </c>
      <c r="AL12" s="1"/>
      <c r="AM12" s="1"/>
      <c r="AN12" s="1"/>
      <c r="AO12" s="1"/>
      <c r="AP12" s="1"/>
      <c r="AQ12" s="1"/>
    </row>
    <row r="13" customFormat="false" ht="15" hidden="false" customHeight="false" outlineLevel="0" collapsed="false">
      <c r="A13" s="1"/>
      <c r="B13" s="51" t="n">
        <f aca="false">B12+1</f>
        <v>8</v>
      </c>
      <c r="C13" s="52" t="n">
        <f aca="false">EDATE(Premissas!$C$7,B13-1)</f>
        <v>46508</v>
      </c>
      <c r="D13" s="53" t="n">
        <f aca="false">Premissas!$F$19*(1+Premissas!$F$20)^(B13-1)</f>
        <v>12.8462518118274</v>
      </c>
      <c r="E13" s="54" t="n">
        <f aca="false">IFERROR(D13/Premissas!$F$25,0)</f>
        <v>64.2312590591372</v>
      </c>
      <c r="F13" s="53" t="n">
        <f aca="false">(N(H12)+N(J12))*Premissas!$F$21+AI13</f>
        <v>2.41985114769248</v>
      </c>
      <c r="G13" s="55" t="n">
        <f aca="false">H13+I13+J13+K13</f>
        <v>72.669857366063</v>
      </c>
      <c r="H13" s="53" t="n">
        <f aca="false">N(H12)*(1-Premissas!$F$21)+AC13</f>
        <v>42.1906299417143</v>
      </c>
      <c r="I13" s="53" t="n">
        <f aca="false">SUM(INDEX($AG$6:$AG$29,MAX(1,B13-11)):INDEX($AG$6:$AG$29,B13))</f>
        <v>12.3117630828329</v>
      </c>
      <c r="J13" s="53" t="n">
        <f aca="false">N(J12)*(1-Premissas!$F$21)+AE13</f>
        <v>14.0635433139048</v>
      </c>
      <c r="K13" s="53" t="n">
        <f aca="false">SUM(INDEX($AH$6:$AH$29,MAX(1,B13-11)):INDEX($AH$6:$AH$29,B13))</f>
        <v>4.10392102761097</v>
      </c>
      <c r="L13" s="56" t="n">
        <f aca="false">H13*Premissas!$C$13+I13*Premissas!$F$13/12+J13*Premissas!$C$14+K13*Premissas!$F$14/12</f>
        <v>4573.53407770071</v>
      </c>
      <c r="M13" s="40" t="n">
        <f aca="false">L13*12</f>
        <v>54882.4089324086</v>
      </c>
      <c r="N13" s="40" t="n">
        <f aca="false">IFERROR(L13/G13,0)</f>
        <v>62.9357789249847</v>
      </c>
      <c r="O13" s="40" t="n">
        <f aca="false">L13*Premissas!$C$30</f>
        <v>274.412044662043</v>
      </c>
      <c r="P13" s="40" t="n">
        <f aca="false">L13*Premissas!$C$28+AJ13*Premissas!$C$29</f>
        <v>188.897170292337</v>
      </c>
      <c r="Q13" s="40" t="n">
        <f aca="false">G13*Premissas!$C$31</f>
        <v>36.3349286830315</v>
      </c>
      <c r="R13" s="40" t="n">
        <f aca="false">L13-O13-P13-Q13</f>
        <v>4073.8899340633</v>
      </c>
      <c r="S13" s="57" t="n">
        <f aca="false">IFERROR(R13/L13,0)</f>
        <v>0.890753160433736</v>
      </c>
      <c r="T13" s="40" t="n">
        <f aca="false">SUMPRODUCT(Premissas!$C$42:$C$61,--(Premissas!$D$42:$D$61&lt;=B13))</f>
        <v>3395</v>
      </c>
      <c r="U13" s="40" t="n">
        <f aca="false">Premissas!$C$34*(1+Premissas!$C$35)^(B13-1)</f>
        <v>1844.81079813731</v>
      </c>
      <c r="V13" s="40" t="n">
        <f aca="false">D13*Premissas!$C$36*Premissas!$C$37</f>
        <v>77.0775108709647</v>
      </c>
      <c r="W13" s="40" t="n">
        <f aca="false">O13+P13+Q13+T13+U13+V13</f>
        <v>5816.53245264568</v>
      </c>
      <c r="X13" s="56" t="n">
        <f aca="false">L13-W13</f>
        <v>-1242.99837494497</v>
      </c>
      <c r="Y13" s="40" t="n">
        <f aca="false">N(Y12)+X13</f>
        <v>-16251.4648650782</v>
      </c>
      <c r="Z13" s="40" t="n">
        <f aca="false">IFERROR((U13+V13)/D13,0)</f>
        <v>149.606931045739</v>
      </c>
      <c r="AA13" s="54" t="n">
        <f aca="false">IFERROR(T13/(R13/G13),0)</f>
        <v>60.5598505975617</v>
      </c>
      <c r="AB13" s="1"/>
      <c r="AC13" s="58" t="n">
        <f aca="false">D13*(1-Premissas!$F$23)*(1-Premissas!$F$24)</f>
        <v>7.70775108709647</v>
      </c>
      <c r="AD13" s="58" t="n">
        <f aca="false">D13*(1-Premissas!$F$23)*Premissas!$F$24</f>
        <v>1.92693777177412</v>
      </c>
      <c r="AE13" s="58" t="n">
        <f aca="false">D13*Premissas!$F$23*(1-Premissas!$F$24)</f>
        <v>2.56925036236549</v>
      </c>
      <c r="AF13" s="58" t="n">
        <f aca="false">D13*Premissas!$F$23*Premissas!$F$24</f>
        <v>0.642312590591372</v>
      </c>
      <c r="AG13" s="58" t="n">
        <f aca="false">AD13+IF(B13&gt;12,INDEX($AD$6:$AD$29,B13-12)*Premissas!$F$22,0)</f>
        <v>1.92693777177412</v>
      </c>
      <c r="AH13" s="58" t="n">
        <f aca="false">AF13+IF(B13&gt;12,INDEX($AF$6:$AF$29,B13-12)*Premissas!$F$22,0)</f>
        <v>0.642312590591372</v>
      </c>
      <c r="AI13" s="58" t="n">
        <f aca="false">IF(B13&gt;12,(INDEX($AD$6:$AD$29,B13-12)+INDEX($AF$6:$AF$29,B13-12))*(1-Premissas!$F$22),0)</f>
        <v>0</v>
      </c>
      <c r="AJ13" s="58" t="n">
        <f aca="false">H13+J13+AG13+AH13</f>
        <v>58.8234236179846</v>
      </c>
      <c r="AK13" s="59" t="str">
        <f aca="false">IF(X13&gt;0,B13,"")</f>
        <v/>
      </c>
      <c r="AL13" s="1"/>
      <c r="AM13" s="1"/>
      <c r="AN13" s="1"/>
      <c r="AO13" s="1"/>
      <c r="AP13" s="1"/>
      <c r="AQ13" s="1"/>
    </row>
    <row r="14" customFormat="false" ht="15" hidden="false" customHeight="false" outlineLevel="0" collapsed="false">
      <c r="A14" s="1"/>
      <c r="B14" s="51" t="n">
        <f aca="false">B13+1</f>
        <v>9</v>
      </c>
      <c r="C14" s="52" t="n">
        <f aca="false">EDATE(Premissas!$C$7,B14-1)</f>
        <v>46539</v>
      </c>
      <c r="D14" s="53" t="n">
        <f aca="false">Premissas!$F$19*(1+Premissas!$F$20)^(B14-1)</f>
        <v>13.7454894386554</v>
      </c>
      <c r="E14" s="54" t="n">
        <f aca="false">IFERROR(D14/Premissas!$F$25,0)</f>
        <v>68.7274471932768</v>
      </c>
      <c r="F14" s="53" t="n">
        <f aca="false">(N(H13)+N(J13))*Premissas!$F$21+AI14</f>
        <v>2.81270866278095</v>
      </c>
      <c r="G14" s="55" t="n">
        <f aca="false">H14+I14+J14+K14</f>
        <v>83.6026381419374</v>
      </c>
      <c r="H14" s="53" t="n">
        <f aca="false">N(H13)*(1-Premissas!$F$21)+AC14</f>
        <v>48.3283921078218</v>
      </c>
      <c r="I14" s="53" t="n">
        <f aca="false">SUM(INDEX($AG$6:$AG$29,MAX(1,B14-11)):INDEX($AG$6:$AG$29,B14))</f>
        <v>14.3735864986312</v>
      </c>
      <c r="J14" s="53" t="n">
        <f aca="false">N(J13)*(1-Premissas!$F$21)+AE14</f>
        <v>16.1094640359406</v>
      </c>
      <c r="K14" s="53" t="n">
        <f aca="false">SUM(INDEX($AH$6:$AH$29,MAX(1,B14-11)):INDEX($AH$6:$AH$29,B14))</f>
        <v>4.79119549954374</v>
      </c>
      <c r="L14" s="56" t="n">
        <f aca="false">H14*Premissas!$C$13+I14*Premissas!$F$13/12+J14*Premissas!$C$14+K14*Premissas!$F$14/12</f>
        <v>5258.54871886011</v>
      </c>
      <c r="M14" s="40" t="n">
        <f aca="false">L14*12</f>
        <v>63102.5846263214</v>
      </c>
      <c r="N14" s="40" t="n">
        <f aca="false">IFERROR(L14/G14,0)</f>
        <v>62.8993155686349</v>
      </c>
      <c r="O14" s="40" t="n">
        <f aca="false">L14*Premissas!$C$30</f>
        <v>315.512923131607</v>
      </c>
      <c r="P14" s="40" t="n">
        <f aca="false">L14*Premissas!$C$28+AJ14*Premissas!$C$29</f>
        <v>216.970812635536</v>
      </c>
      <c r="Q14" s="40" t="n">
        <f aca="false">G14*Premissas!$C$31</f>
        <v>41.8013190709687</v>
      </c>
      <c r="R14" s="40" t="n">
        <f aca="false">L14-O14-P14-Q14</f>
        <v>4684.263664022</v>
      </c>
      <c r="S14" s="57" t="n">
        <f aca="false">IFERROR(R14/L14,0)</f>
        <v>0.890790199817223</v>
      </c>
      <c r="T14" s="40" t="n">
        <f aca="false">SUMPRODUCT(Premissas!$C$42:$C$61,--(Premissas!$D$42:$D$61&lt;=B14))</f>
        <v>3395</v>
      </c>
      <c r="U14" s="40" t="n">
        <f aca="false">Premissas!$C$34*(1+Premissas!$C$35)^(B14-1)</f>
        <v>1900.15512208142</v>
      </c>
      <c r="V14" s="40" t="n">
        <f aca="false">D14*Premissas!$C$36*Premissas!$C$37</f>
        <v>82.4729366319322</v>
      </c>
      <c r="W14" s="40" t="n">
        <f aca="false">O14+P14+Q14+T14+U14+V14</f>
        <v>5951.91311355147</v>
      </c>
      <c r="X14" s="56" t="n">
        <f aca="false">L14-W14</f>
        <v>-693.364394691354</v>
      </c>
      <c r="Y14" s="40" t="n">
        <f aca="false">N(Y13)+X14</f>
        <v>-16944.8292597695</v>
      </c>
      <c r="Z14" s="40" t="n">
        <f aca="false">IFERROR((U14+V14)/D14,0)</f>
        <v>144.23844764216</v>
      </c>
      <c r="AA14" s="54" t="n">
        <f aca="false">IFERROR(T14/(R14/G14),0)</f>
        <v>60.5924381823064</v>
      </c>
      <c r="AB14" s="1"/>
      <c r="AC14" s="58" t="n">
        <f aca="false">D14*(1-Premissas!$F$23)*(1-Premissas!$F$24)</f>
        <v>8.24729366319322</v>
      </c>
      <c r="AD14" s="58" t="n">
        <f aca="false">D14*(1-Premissas!$F$23)*Premissas!$F$24</f>
        <v>2.06182341579831</v>
      </c>
      <c r="AE14" s="58" t="n">
        <f aca="false">D14*Premissas!$F$23*(1-Premissas!$F$24)</f>
        <v>2.74909788773107</v>
      </c>
      <c r="AF14" s="58" t="n">
        <f aca="false">D14*Premissas!$F$23*Premissas!$F$24</f>
        <v>0.687274471932768</v>
      </c>
      <c r="AG14" s="58" t="n">
        <f aca="false">AD14+IF(B14&gt;12,INDEX($AD$6:$AD$29,B14-12)*Premissas!$F$22,0)</f>
        <v>2.06182341579831</v>
      </c>
      <c r="AH14" s="58" t="n">
        <f aca="false">AF14+IF(B14&gt;12,INDEX($AF$6:$AF$29,B14-12)*Premissas!$F$22,0)</f>
        <v>0.687274471932768</v>
      </c>
      <c r="AI14" s="58" t="n">
        <f aca="false">IF(B14&gt;12,(INDEX($AD$6:$AD$29,B14-12)+INDEX($AF$6:$AF$29,B14-12))*(1-Premissas!$F$22),0)</f>
        <v>0</v>
      </c>
      <c r="AJ14" s="58" t="n">
        <f aca="false">H14+J14+AG14+AH14</f>
        <v>67.1869540314935</v>
      </c>
      <c r="AK14" s="59" t="str">
        <f aca="false">IF(X14&gt;0,B14,"")</f>
        <v/>
      </c>
      <c r="AL14" s="1"/>
      <c r="AM14" s="1"/>
      <c r="AN14" s="1"/>
      <c r="AO14" s="1"/>
      <c r="AP14" s="1"/>
      <c r="AQ14" s="1"/>
    </row>
    <row r="15" customFormat="false" ht="15" hidden="false" customHeight="false" outlineLevel="0" collapsed="false">
      <c r="A15" s="1"/>
      <c r="B15" s="51" t="n">
        <f aca="false">B14+1</f>
        <v>10</v>
      </c>
      <c r="C15" s="52" t="n">
        <f aca="false">EDATE(Premissas!$C$7,B15-1)</f>
        <v>46569</v>
      </c>
      <c r="D15" s="53" t="n">
        <f aca="false">Premissas!$F$19*(1+Premissas!$F$20)^(B15-1)</f>
        <v>14.7076736993612</v>
      </c>
      <c r="E15" s="54" t="n">
        <f aca="false">IFERROR(D15/Premissas!$F$25,0)</f>
        <v>73.5383684968062</v>
      </c>
      <c r="F15" s="53" t="n">
        <f aca="false">(N(H14)+N(J14))*Premissas!$F$21+AI15</f>
        <v>3.22189280718812</v>
      </c>
      <c r="G15" s="55" t="n">
        <f aca="false">H15+I15+J15+K15</f>
        <v>95.0884190341105</v>
      </c>
      <c r="H15" s="53" t="n">
        <f aca="false">N(H14)*(1-Premissas!$F$21)+AC15</f>
        <v>54.7365767220475</v>
      </c>
      <c r="I15" s="53" t="n">
        <f aca="false">SUM(INDEX($AG$6:$AG$29,MAX(1,B15-11)):INDEX($AG$6:$AG$29,B15))</f>
        <v>16.5797375535354</v>
      </c>
      <c r="J15" s="53" t="n">
        <f aca="false">N(J14)*(1-Premissas!$F$21)+AE15</f>
        <v>18.2455255740158</v>
      </c>
      <c r="K15" s="53" t="n">
        <f aca="false">SUM(INDEX($AH$6:$AH$29,MAX(1,B15-11)):INDEX($AH$6:$AH$29,B15))</f>
        <v>5.5265791845118</v>
      </c>
      <c r="L15" s="56" t="n">
        <f aca="false">H15*Premissas!$C$13+I15*Premissas!$F$13/12+J15*Premissas!$C$14+K15*Premissas!$F$14/12</f>
        <v>5977.63032211465</v>
      </c>
      <c r="M15" s="40" t="n">
        <f aca="false">L15*12</f>
        <v>71731.5638653759</v>
      </c>
      <c r="N15" s="40" t="n">
        <f aca="false">IFERROR(L15/G15,0)</f>
        <v>62.8639153204381</v>
      </c>
      <c r="O15" s="40" t="n">
        <f aca="false">L15*Premissas!$C$30</f>
        <v>358.657819326879</v>
      </c>
      <c r="P15" s="40" t="n">
        <f aca="false">L15*Premissas!$C$28+AJ15*Premissas!$C$29</f>
        <v>246.419643421621</v>
      </c>
      <c r="Q15" s="40" t="n">
        <f aca="false">G15*Premissas!$C$31</f>
        <v>47.5442095170553</v>
      </c>
      <c r="R15" s="40" t="n">
        <f aca="false">L15-O15-P15-Q15</f>
        <v>5325.0086498491</v>
      </c>
      <c r="S15" s="57" t="n">
        <f aca="false">IFERROR(R15/L15,0)</f>
        <v>0.89082267770037</v>
      </c>
      <c r="T15" s="40" t="n">
        <f aca="false">SUMPRODUCT(Premissas!$C$42:$C$61,--(Premissas!$D$42:$D$61&lt;=B15))</f>
        <v>3395</v>
      </c>
      <c r="U15" s="40" t="n">
        <f aca="false">Premissas!$C$34*(1+Premissas!$C$35)^(B15-1)</f>
        <v>1957.15977574387</v>
      </c>
      <c r="V15" s="40" t="n">
        <f aca="false">D15*Premissas!$C$36*Premissas!$C$37</f>
        <v>88.2460421961675</v>
      </c>
      <c r="W15" s="40" t="n">
        <f aca="false">O15+P15+Q15+T15+U15+V15</f>
        <v>6093.02749020559</v>
      </c>
      <c r="X15" s="56" t="n">
        <f aca="false">L15-W15</f>
        <v>-115.397168090936</v>
      </c>
      <c r="Y15" s="40" t="n">
        <f aca="false">N(Y14)+X15</f>
        <v>-17060.2264278605</v>
      </c>
      <c r="Z15" s="40" t="n">
        <f aca="false">IFERROR((U15+V15)/D15,0)</f>
        <v>139.070655206939</v>
      </c>
      <c r="AA15" s="54" t="n">
        <f aca="false">IFERROR(T15/(R15/G15),0)</f>
        <v>60.6243489632554</v>
      </c>
      <c r="AB15" s="1"/>
      <c r="AC15" s="58" t="n">
        <f aca="false">D15*(1-Premissas!$F$23)*(1-Premissas!$F$24)</f>
        <v>8.82460421961675</v>
      </c>
      <c r="AD15" s="58" t="n">
        <f aca="false">D15*(1-Premissas!$F$23)*Premissas!$F$24</f>
        <v>2.20615105490419</v>
      </c>
      <c r="AE15" s="58" t="n">
        <f aca="false">D15*Premissas!$F$23*(1-Premissas!$F$24)</f>
        <v>2.94153473987225</v>
      </c>
      <c r="AF15" s="58" t="n">
        <f aca="false">D15*Premissas!$F$23*Premissas!$F$24</f>
        <v>0.735383684968062</v>
      </c>
      <c r="AG15" s="58" t="n">
        <f aca="false">AD15+IF(B15&gt;12,INDEX($AD$6:$AD$29,B15-12)*Premissas!$F$22,0)</f>
        <v>2.20615105490419</v>
      </c>
      <c r="AH15" s="58" t="n">
        <f aca="false">AF15+IF(B15&gt;12,INDEX($AF$6:$AF$29,B15-12)*Premissas!$F$22,0)</f>
        <v>0.735383684968062</v>
      </c>
      <c r="AI15" s="58" t="n">
        <f aca="false">IF(B15&gt;12,(INDEX($AD$6:$AD$29,B15-12)+INDEX($AF$6:$AF$29,B15-12))*(1-Premissas!$F$22),0)</f>
        <v>0</v>
      </c>
      <c r="AJ15" s="58" t="n">
        <f aca="false">H15+J15+AG15+AH15</f>
        <v>75.9236370359355</v>
      </c>
      <c r="AK15" s="59" t="str">
        <f aca="false">IF(X15&gt;0,B15,"")</f>
        <v/>
      </c>
      <c r="AL15" s="1"/>
      <c r="AM15" s="1"/>
      <c r="AN15" s="1"/>
      <c r="AO15" s="1"/>
      <c r="AP15" s="1"/>
      <c r="AQ15" s="1"/>
    </row>
    <row r="16" customFormat="false" ht="15" hidden="false" customHeight="false" outlineLevel="0" collapsed="false">
      <c r="A16" s="1"/>
      <c r="B16" s="51" t="n">
        <f aca="false">B15+1</f>
        <v>11</v>
      </c>
      <c r="C16" s="52" t="n">
        <f aca="false">EDATE(Premissas!$C$7,B16-1)</f>
        <v>46600</v>
      </c>
      <c r="D16" s="53" t="n">
        <f aca="false">Premissas!$F$19*(1+Premissas!$F$20)^(B16-1)</f>
        <v>15.7372108583165</v>
      </c>
      <c r="E16" s="54" t="n">
        <f aca="false">IFERROR(D16/Premissas!$F$25,0)</f>
        <v>78.6860542915827</v>
      </c>
      <c r="F16" s="53" t="n">
        <f aca="false">(N(H15)+N(J15))*Premissas!$F$21+AI16</f>
        <v>3.64910511480317</v>
      </c>
      <c r="G16" s="55" t="n">
        <f aca="false">H16+I16+J16+K16</f>
        <v>107.176524777624</v>
      </c>
      <c r="H16" s="53" t="n">
        <f aca="false">N(H15)*(1-Premissas!$F$21)+AC16</f>
        <v>61.442074400935</v>
      </c>
      <c r="I16" s="53" t="n">
        <f aca="false">SUM(INDEX($AG$6:$AG$29,MAX(1,B16-11)):INDEX($AG$6:$AG$29,B16))</f>
        <v>18.9403191822829</v>
      </c>
      <c r="J16" s="53" t="n">
        <f aca="false">N(J15)*(1-Premissas!$F$21)+AE16</f>
        <v>20.4806914669783</v>
      </c>
      <c r="K16" s="53" t="n">
        <f aca="false">SUM(INDEX($AH$6:$AH$29,MAX(1,B16-11)):INDEX($AH$6:$AH$29,B16))</f>
        <v>6.31343972742763</v>
      </c>
      <c r="L16" s="56" t="n">
        <f aca="false">H16*Premissas!$C$13+I16*Premissas!$F$13/12+J16*Premissas!$C$14+K16*Premissas!$F$14/12</f>
        <v>6733.8577779503</v>
      </c>
      <c r="M16" s="40" t="n">
        <f aca="false">L16*12</f>
        <v>80806.2933354036</v>
      </c>
      <c r="N16" s="40" t="n">
        <f aca="false">IFERROR(L16/G16,0)</f>
        <v>62.8295962378151</v>
      </c>
      <c r="O16" s="40" t="n">
        <f aca="false">L16*Premissas!$C$30</f>
        <v>404.031466677018</v>
      </c>
      <c r="P16" s="40" t="n">
        <f aca="false">L16*Premissas!$C$28+AJ16*Premissas!$C$29</f>
        <v>277.369424167653</v>
      </c>
      <c r="Q16" s="40" t="n">
        <f aca="false">G16*Premissas!$C$31</f>
        <v>53.5882623888119</v>
      </c>
      <c r="R16" s="40" t="n">
        <f aca="false">L16-O16-P16-Q16</f>
        <v>5998.86862471681</v>
      </c>
      <c r="S16" s="57" t="n">
        <f aca="false">IFERROR(R16/L16,0)</f>
        <v>0.890851696387148</v>
      </c>
      <c r="T16" s="40" t="n">
        <f aca="false">SUMPRODUCT(Premissas!$C$42:$C$61,--(Premissas!$D$42:$D$61&lt;=B16))</f>
        <v>3395</v>
      </c>
      <c r="U16" s="40" t="n">
        <f aca="false">Premissas!$C$34*(1+Premissas!$C$35)^(B16-1)</f>
        <v>2015.87456901618</v>
      </c>
      <c r="V16" s="40" t="n">
        <f aca="false">D16*Premissas!$C$36*Premissas!$C$37</f>
        <v>94.4232651498992</v>
      </c>
      <c r="W16" s="40" t="n">
        <f aca="false">O16+P16+Q16+T16+U16+V16</f>
        <v>6240.28698739957</v>
      </c>
      <c r="X16" s="56" t="n">
        <f aca="false">L16-W16</f>
        <v>493.570790550732</v>
      </c>
      <c r="Y16" s="40" t="n">
        <f aca="false">N(Y15)+X16</f>
        <v>-16566.6556373097</v>
      </c>
      <c r="Z16" s="40" t="n">
        <f aca="false">IFERROR((U16+V16)/D16,0)</f>
        <v>134.096051273969</v>
      </c>
      <c r="AA16" s="54" t="n">
        <f aca="false">IFERROR(T16/(R16/G16),0)</f>
        <v>60.6554876232533</v>
      </c>
      <c r="AB16" s="1"/>
      <c r="AC16" s="58" t="n">
        <f aca="false">D16*(1-Premissas!$F$23)*(1-Premissas!$F$24)</f>
        <v>9.44232651498992</v>
      </c>
      <c r="AD16" s="58" t="n">
        <f aca="false">D16*(1-Premissas!$F$23)*Premissas!$F$24</f>
        <v>2.36058162874748</v>
      </c>
      <c r="AE16" s="58" t="n">
        <f aca="false">D16*Premissas!$F$23*(1-Premissas!$F$24)</f>
        <v>3.14744217166331</v>
      </c>
      <c r="AF16" s="58" t="n">
        <f aca="false">D16*Premissas!$F$23*Premissas!$F$24</f>
        <v>0.786860542915827</v>
      </c>
      <c r="AG16" s="58" t="n">
        <f aca="false">AD16+IF(B16&gt;12,INDEX($AD$6:$AD$29,B16-12)*Premissas!$F$22,0)</f>
        <v>2.36058162874748</v>
      </c>
      <c r="AH16" s="58" t="n">
        <f aca="false">AF16+IF(B16&gt;12,INDEX($AF$6:$AF$29,B16-12)*Premissas!$F$22,0)</f>
        <v>0.786860542915827</v>
      </c>
      <c r="AI16" s="58" t="n">
        <f aca="false">IF(B16&gt;12,(INDEX($AD$6:$AD$29,B16-12)+INDEX($AF$6:$AF$29,B16-12))*(1-Premissas!$F$22),0)</f>
        <v>0</v>
      </c>
      <c r="AJ16" s="58" t="n">
        <f aca="false">H16+J16+AG16+AH16</f>
        <v>85.0702080395767</v>
      </c>
      <c r="AK16" s="59" t="n">
        <f aca="false">IF(X16&gt;0,B16,"")</f>
        <v>11</v>
      </c>
      <c r="AL16" s="1"/>
      <c r="AM16" s="1"/>
      <c r="AN16" s="1"/>
      <c r="AO16" s="1"/>
      <c r="AP16" s="1"/>
      <c r="AQ16" s="1"/>
    </row>
    <row r="17" customFormat="false" ht="15" hidden="false" customHeight="false" outlineLevel="0" collapsed="false">
      <c r="A17" s="1"/>
      <c r="B17" s="51" t="n">
        <f aca="false">B16+1</f>
        <v>12</v>
      </c>
      <c r="C17" s="52" t="n">
        <f aca="false">EDATE(Premissas!$C$7,B17-1)</f>
        <v>46631</v>
      </c>
      <c r="D17" s="53" t="n">
        <f aca="false">Premissas!$F$19*(1+Premissas!$F$20)^(B17-1)</f>
        <v>16.8388156183987</v>
      </c>
      <c r="E17" s="54" t="n">
        <f aca="false">IFERROR(D17/Premissas!$F$25,0)</f>
        <v>84.1940780919935</v>
      </c>
      <c r="F17" s="53" t="n">
        <f aca="false">(N(H16)+N(J16))*Premissas!$F$21+AI17</f>
        <v>4.09613829339567</v>
      </c>
      <c r="G17" s="55" t="n">
        <f aca="false">H17+I17+J17+K17</f>
        <v>119.919202102627</v>
      </c>
      <c r="H17" s="53" t="n">
        <f aca="false">N(H16)*(1-Premissas!$F$21)+AC17</f>
        <v>68.4732600519275</v>
      </c>
      <c r="I17" s="53" t="n">
        <f aca="false">SUM(INDEX($AG$6:$AG$29,MAX(1,B17-11)):INDEX($AG$6:$AG$29,B17))</f>
        <v>21.4661415250427</v>
      </c>
      <c r="J17" s="53" t="n">
        <f aca="false">N(J16)*(1-Premissas!$F$21)+AE17</f>
        <v>22.8244200173092</v>
      </c>
      <c r="K17" s="53" t="n">
        <f aca="false">SUM(INDEX($AH$6:$AH$29,MAX(1,B17-11)):INDEX($AH$6:$AH$29,B17))</f>
        <v>7.15538050834756</v>
      </c>
      <c r="L17" s="56" t="n">
        <f aca="false">H17*Premissas!$C$13+I17*Premissas!$F$13/12+J17*Premissas!$C$14+K17*Premissas!$F$14/12</f>
        <v>7530.49078903005</v>
      </c>
      <c r="M17" s="40" t="n">
        <f aca="false">L17*12</f>
        <v>90365.8894683606</v>
      </c>
      <c r="N17" s="40" t="n">
        <f aca="false">IFERROR(L17/G17,0)</f>
        <v>62.7963716985496</v>
      </c>
      <c r="O17" s="40" t="n">
        <f aca="false">L17*Premissas!$C$30</f>
        <v>451.829447341803</v>
      </c>
      <c r="P17" s="40" t="n">
        <f aca="false">L17*Premissas!$C$28+AJ17*Premissas!$C$29</f>
        <v>309.953244780581</v>
      </c>
      <c r="Q17" s="40" t="n">
        <f aca="false">G17*Premissas!$C$31</f>
        <v>59.9596010513135</v>
      </c>
      <c r="R17" s="40" t="n">
        <f aca="false">L17-O17-P17-Q17</f>
        <v>6708.74849585636</v>
      </c>
      <c r="S17" s="57" t="n">
        <f aca="false">IFERROR(R17/L17,0)</f>
        <v>0.890877989735973</v>
      </c>
      <c r="T17" s="40" t="n">
        <f aca="false">SUMPRODUCT(Premissas!$C$42:$C$61,--(Premissas!$D$42:$D$61&lt;=B17))</f>
        <v>3395</v>
      </c>
      <c r="U17" s="40" t="n">
        <f aca="false">Premissas!$C$34*(1+Premissas!$C$35)^(B17-1)</f>
        <v>2076.35080608667</v>
      </c>
      <c r="V17" s="40" t="n">
        <f aca="false">D17*Premissas!$C$36*Premissas!$C$37</f>
        <v>101.032893710392</v>
      </c>
      <c r="W17" s="40" t="n">
        <f aca="false">O17+P17+Q17+T17+U17+V17</f>
        <v>6394.12599297076</v>
      </c>
      <c r="X17" s="56" t="n">
        <f aca="false">L17-W17</f>
        <v>1136.36479605929</v>
      </c>
      <c r="Y17" s="40" t="n">
        <f aca="false">N(Y16)+X17</f>
        <v>-15430.2908412504</v>
      </c>
      <c r="Z17" s="40" t="n">
        <f aca="false">IFERROR((U17+V17)/D17,0)</f>
        <v>129.307413843167</v>
      </c>
      <c r="AA17" s="54" t="n">
        <f aca="false">IFERROR(T17/(R17/G17),0)</f>
        <v>60.685788323989</v>
      </c>
      <c r="AB17" s="1"/>
      <c r="AC17" s="58" t="n">
        <f aca="false">D17*(1-Premissas!$F$23)*(1-Premissas!$F$24)</f>
        <v>10.1032893710392</v>
      </c>
      <c r="AD17" s="58" t="n">
        <f aca="false">D17*(1-Premissas!$F$23)*Premissas!$F$24</f>
        <v>2.5258223427598</v>
      </c>
      <c r="AE17" s="58" t="n">
        <f aca="false">D17*Premissas!$F$23*(1-Premissas!$F$24)</f>
        <v>3.36776312367974</v>
      </c>
      <c r="AF17" s="58" t="n">
        <f aca="false">D17*Premissas!$F$23*Premissas!$F$24</f>
        <v>0.841940780919935</v>
      </c>
      <c r="AG17" s="58" t="n">
        <f aca="false">AD17+IF(B17&gt;12,INDEX($AD$6:$AD$29,B17-12)*Premissas!$F$22,0)</f>
        <v>2.5258223427598</v>
      </c>
      <c r="AH17" s="58" t="n">
        <f aca="false">AF17+IF(B17&gt;12,INDEX($AF$6:$AF$29,B17-12)*Premissas!$F$22,0)</f>
        <v>0.841940780919935</v>
      </c>
      <c r="AI17" s="58" t="n">
        <f aca="false">IF(B17&gt;12,(INDEX($AD$6:$AD$29,B17-12)+INDEX($AF$6:$AF$29,B17-12))*(1-Premissas!$F$22),0)</f>
        <v>0</v>
      </c>
      <c r="AJ17" s="58" t="n">
        <f aca="false">H17+J17+AG17+AH17</f>
        <v>94.6654431929164</v>
      </c>
      <c r="AK17" s="59" t="n">
        <f aca="false">IF(X17&gt;0,B17,"")</f>
        <v>12</v>
      </c>
      <c r="AL17" s="1"/>
      <c r="AM17" s="1"/>
      <c r="AN17" s="1"/>
      <c r="AO17" s="1"/>
      <c r="AP17" s="1"/>
      <c r="AQ17" s="1"/>
    </row>
    <row r="18" customFormat="false" ht="15" hidden="false" customHeight="false" outlineLevel="0" collapsed="false">
      <c r="A18" s="1"/>
      <c r="B18" s="51" t="n">
        <f aca="false">B17+1</f>
        <v>13</v>
      </c>
      <c r="C18" s="52" t="n">
        <f aca="false">EDATE(Premissas!$C$7,B18-1)</f>
        <v>46661</v>
      </c>
      <c r="D18" s="53" t="n">
        <f aca="false">Premissas!$F$19*(1+Premissas!$F$20)^(B18-1)</f>
        <v>18.0175327116866</v>
      </c>
      <c r="E18" s="54" t="n">
        <f aca="false">IFERROR(D18/Premissas!$F$25,0)</f>
        <v>90.087663558433</v>
      </c>
      <c r="F18" s="53" t="n">
        <f aca="false">(N(H17)+N(J17))*Premissas!$F$21+AI18</f>
        <v>5.12488400346183</v>
      </c>
      <c r="G18" s="55" t="n">
        <f aca="false">H18+I18+J18+K18</f>
        <v>132.811850810852</v>
      </c>
      <c r="H18" s="53" t="n">
        <f aca="false">N(H17)*(1-Premissas!$F$21)+AC18</f>
        <v>75.8601166763431</v>
      </c>
      <c r="I18" s="53" t="n">
        <f aca="false">SUM(INDEX($AG$6:$AG$29,MAX(1,B18-11)):INDEX($AG$6:$AG$29,B18))</f>
        <v>23.7487714317957</v>
      </c>
      <c r="J18" s="53" t="n">
        <f aca="false">N(J17)*(1-Premissas!$F$21)+AE18</f>
        <v>25.286705558781</v>
      </c>
      <c r="K18" s="53" t="n">
        <f aca="false">SUM(INDEX($AH$6:$AH$29,MAX(1,B18-11)):INDEX($AH$6:$AH$29,B18))</f>
        <v>7.9162571439319</v>
      </c>
      <c r="L18" s="56" t="n">
        <f aca="false">H18*Premissas!$C$13+I18*Premissas!$F$13/12+J18*Premissas!$C$14+K18*Premissas!$F$14/12</f>
        <v>8340.46916255423</v>
      </c>
      <c r="M18" s="40" t="n">
        <f aca="false">L18*12</f>
        <v>100085.629950651</v>
      </c>
      <c r="N18" s="40" t="n">
        <f aca="false">IFERROR(L18/G18,0)</f>
        <v>62.7991335986469</v>
      </c>
      <c r="O18" s="40" t="n">
        <f aca="false">L18*Premissas!$C$30</f>
        <v>500.428149753254</v>
      </c>
      <c r="P18" s="40" t="n">
        <f aca="false">L18*Premissas!$C$28+AJ18*Premissas!$C$29</f>
        <v>343.753681790354</v>
      </c>
      <c r="Q18" s="40" t="n">
        <f aca="false">G18*Premissas!$C$31</f>
        <v>66.4059254054258</v>
      </c>
      <c r="R18" s="40" t="n">
        <f aca="false">L18-O18-P18-Q18</f>
        <v>7429.8814056052</v>
      </c>
      <c r="S18" s="57" t="n">
        <f aca="false">IFERROR(R18/L18,0)</f>
        <v>0.890822957413805</v>
      </c>
      <c r="T18" s="40" t="n">
        <f aca="false">SUMPRODUCT(Premissas!$C$42:$C$61,--(Premissas!$D$42:$D$61&lt;=B18))</f>
        <v>3395</v>
      </c>
      <c r="U18" s="40" t="n">
        <f aca="false">Premissas!$C$34*(1+Premissas!$C$35)^(B18-1)</f>
        <v>2138.64133026927</v>
      </c>
      <c r="V18" s="40" t="n">
        <f aca="false">D18*Premissas!$C$36*Premissas!$C$37</f>
        <v>108.10519627012</v>
      </c>
      <c r="W18" s="40" t="n">
        <f aca="false">O18+P18+Q18+T18+U18+V18</f>
        <v>6552.33428348842</v>
      </c>
      <c r="X18" s="56" t="n">
        <f aca="false">L18-W18</f>
        <v>1788.13487906581</v>
      </c>
      <c r="Y18" s="40" t="n">
        <f aca="false">N(Y17)+X18</f>
        <v>-13642.1559621846</v>
      </c>
      <c r="Z18" s="40" t="n">
        <f aca="false">IFERROR((U18+V18)/D18,0)</f>
        <v>124.697790895759</v>
      </c>
      <c r="AA18" s="54" t="n">
        <f aca="false">IFERROR(T18/(R18/G18),0)</f>
        <v>60.6868681864396</v>
      </c>
      <c r="AB18" s="1"/>
      <c r="AC18" s="58" t="n">
        <f aca="false">D18*(1-Premissas!$F$23)*(1-Premissas!$F$24)</f>
        <v>10.810519627012</v>
      </c>
      <c r="AD18" s="58" t="n">
        <f aca="false">D18*(1-Premissas!$F$23)*Premissas!$F$24</f>
        <v>2.70262990675299</v>
      </c>
      <c r="AE18" s="58" t="n">
        <f aca="false">D18*Premissas!$F$23*(1-Premissas!$F$24)</f>
        <v>3.60350654233732</v>
      </c>
      <c r="AF18" s="58" t="n">
        <f aca="false">D18*Premissas!$F$23*Premissas!$F$24</f>
        <v>0.90087663558433</v>
      </c>
      <c r="AG18" s="58" t="n">
        <f aca="false">AD18+IF(B18&gt;12,INDEX($AD$6:$AD$29,B18-12)*Premissas!$F$22,0)</f>
        <v>3.48262990675299</v>
      </c>
      <c r="AH18" s="58" t="n">
        <f aca="false">AF18+IF(B18&gt;12,INDEX($AF$6:$AF$29,B18-12)*Premissas!$F$22,0)</f>
        <v>1.16087663558433</v>
      </c>
      <c r="AI18" s="58" t="n">
        <f aca="false">IF(B18&gt;12,(INDEX($AD$6:$AD$29,B18-12)+INDEX($AF$6:$AF$29,B18-12))*(1-Premissas!$F$22),0)</f>
        <v>0.56</v>
      </c>
      <c r="AJ18" s="58" t="n">
        <f aca="false">H18+J18+AG18+AH18</f>
        <v>105.790328777461</v>
      </c>
      <c r="AK18" s="59" t="n">
        <f aca="false">IF(X18&gt;0,B18,"")</f>
        <v>13</v>
      </c>
      <c r="AL18" s="1"/>
      <c r="AM18" s="1"/>
      <c r="AN18" s="1"/>
      <c r="AO18" s="1"/>
      <c r="AP18" s="1"/>
      <c r="AQ18" s="1"/>
    </row>
    <row r="19" customFormat="false" ht="15" hidden="false" customHeight="false" outlineLevel="0" collapsed="false">
      <c r="A19" s="1"/>
      <c r="B19" s="51" t="n">
        <f aca="false">B18+1</f>
        <v>14</v>
      </c>
      <c r="C19" s="52" t="n">
        <f aca="false">EDATE(Premissas!$C$7,B19-1)</f>
        <v>46692</v>
      </c>
      <c r="D19" s="53" t="n">
        <f aca="false">Premissas!$F$19*(1+Premissas!$F$20)^(B19-1)</f>
        <v>19.2787600015047</v>
      </c>
      <c r="E19" s="54" t="n">
        <f aca="false">IFERROR(D19/Premissas!$F$25,0)</f>
        <v>96.3938000075233</v>
      </c>
      <c r="F19" s="53" t="n">
        <f aca="false">(N(H18)+N(J18))*Premissas!$F$21+AI19</f>
        <v>5.6565411117562</v>
      </c>
      <c r="G19" s="55" t="n">
        <f aca="false">H19+I19+J19+K19</f>
        <v>146.4340697006</v>
      </c>
      <c r="H19" s="53" t="n">
        <f aca="false">N(H18)*(1-Premissas!$F$21)+AC19</f>
        <v>83.6343668434287</v>
      </c>
      <c r="I19" s="53" t="n">
        <f aca="false">SUM(INDEX($AG$6:$AG$29,MAX(1,B19-11)):INDEX($AG$6:$AG$29,B19))</f>
        <v>26.1911854320214</v>
      </c>
      <c r="J19" s="53" t="n">
        <f aca="false">N(J18)*(1-Premissas!$F$21)+AE19</f>
        <v>27.8781222811429</v>
      </c>
      <c r="K19" s="53" t="n">
        <f aca="false">SUM(INDEX($AH$6:$AH$29,MAX(1,B19-11)):INDEX($AH$6:$AH$29,B19))</f>
        <v>8.73039514400713</v>
      </c>
      <c r="L19" s="56" t="n">
        <f aca="false">H19*Premissas!$C$13+I19*Premissas!$F$13/12+J19*Premissas!$C$14+K19*Premissas!$F$14/12</f>
        <v>9195.8373663105</v>
      </c>
      <c r="M19" s="40" t="n">
        <f aca="false">L19*12</f>
        <v>110350.048395726</v>
      </c>
      <c r="N19" s="40" t="n">
        <f aca="false">IFERROR(L19/G19,0)</f>
        <v>62.798482519214</v>
      </c>
      <c r="O19" s="40" t="n">
        <f aca="false">L19*Premissas!$C$30</f>
        <v>551.75024197863</v>
      </c>
      <c r="P19" s="40" t="n">
        <f aca="false">L19*Premissas!$C$28+AJ19*Premissas!$C$29</f>
        <v>378.930017972055</v>
      </c>
      <c r="Q19" s="40" t="n">
        <f aca="false">G19*Premissas!$C$31</f>
        <v>73.2170348503001</v>
      </c>
      <c r="R19" s="40" t="n">
        <f aca="false">L19-O19-P19-Q19</f>
        <v>8191.94007150951</v>
      </c>
      <c r="S19" s="57" t="n">
        <f aca="false">IFERROR(R19/L19,0)</f>
        <v>0.890831334351472</v>
      </c>
      <c r="T19" s="40" t="n">
        <f aca="false">SUMPRODUCT(Premissas!$C$42:$C$61,--(Premissas!$D$42:$D$61&lt;=B19))</f>
        <v>3395</v>
      </c>
      <c r="U19" s="40" t="n">
        <f aca="false">Premissas!$C$34*(1+Premissas!$C$35)^(B19-1)</f>
        <v>2202.80057017735</v>
      </c>
      <c r="V19" s="40" t="n">
        <f aca="false">D19*Premissas!$C$36*Premissas!$C$37</f>
        <v>115.672560009028</v>
      </c>
      <c r="W19" s="40" t="n">
        <f aca="false">O19+P19+Q19+T19+U19+V19</f>
        <v>6717.37042498736</v>
      </c>
      <c r="X19" s="56" t="n">
        <f aca="false">L19-W19</f>
        <v>2478.46694132314</v>
      </c>
      <c r="Y19" s="40" t="n">
        <f aca="false">N(Y18)+X19</f>
        <v>-11163.6890208615</v>
      </c>
      <c r="Z19" s="40" t="n">
        <f aca="false">IFERROR((U19+V19)/D19,0)</f>
        <v>120.260490301525</v>
      </c>
      <c r="AA19" s="54" t="n">
        <f aca="false">IFERROR(T19/(R19/G19),0)</f>
        <v>60.6869266979305</v>
      </c>
      <c r="AB19" s="1"/>
      <c r="AC19" s="58" t="n">
        <f aca="false">D19*(1-Premissas!$F$23)*(1-Premissas!$F$24)</f>
        <v>11.5672560009028</v>
      </c>
      <c r="AD19" s="58" t="n">
        <f aca="false">D19*(1-Premissas!$F$23)*Premissas!$F$24</f>
        <v>2.8918140002257</v>
      </c>
      <c r="AE19" s="58" t="n">
        <f aca="false">D19*Premissas!$F$23*(1-Premissas!$F$24)</f>
        <v>3.85575200030093</v>
      </c>
      <c r="AF19" s="58" t="n">
        <f aca="false">D19*Premissas!$F$23*Premissas!$F$24</f>
        <v>0.963938000075233</v>
      </c>
      <c r="AG19" s="58" t="n">
        <f aca="false">AD19+IF(B19&gt;12,INDEX($AD$6:$AD$29,B19-12)*Premissas!$F$22,0)</f>
        <v>3.7264140002257</v>
      </c>
      <c r="AH19" s="58" t="n">
        <f aca="false">AF19+IF(B19&gt;12,INDEX($AF$6:$AF$29,B19-12)*Premissas!$F$22,0)</f>
        <v>1.24213800007523</v>
      </c>
      <c r="AI19" s="58" t="n">
        <f aca="false">IF(B19&gt;12,(INDEX($AD$6:$AD$29,B19-12)+INDEX($AF$6:$AF$29,B19-12))*(1-Premissas!$F$22),0)</f>
        <v>0.5992</v>
      </c>
      <c r="AJ19" s="58" t="n">
        <f aca="false">H19+J19+AG19+AH19</f>
        <v>116.481041124873</v>
      </c>
      <c r="AK19" s="59" t="n">
        <f aca="false">IF(X19&gt;0,B19,"")</f>
        <v>14</v>
      </c>
      <c r="AL19" s="1"/>
      <c r="AM19" s="1"/>
      <c r="AN19" s="1"/>
      <c r="AO19" s="1"/>
      <c r="AP19" s="1"/>
      <c r="AQ19" s="1"/>
    </row>
    <row r="20" customFormat="false" ht="15" hidden="false" customHeight="false" outlineLevel="0" collapsed="false">
      <c r="A20" s="1"/>
      <c r="B20" s="51" t="n">
        <f aca="false">B19+1</f>
        <v>15</v>
      </c>
      <c r="C20" s="52" t="n">
        <f aca="false">EDATE(Premissas!$C$7,B20-1)</f>
        <v>46722</v>
      </c>
      <c r="D20" s="53" t="n">
        <f aca="false">Premissas!$F$19*(1+Premissas!$F$20)^(B20-1)</f>
        <v>20.62827320161</v>
      </c>
      <c r="E20" s="54" t="n">
        <f aca="false">IFERROR(D20/Premissas!$F$25,0)</f>
        <v>103.14136600805</v>
      </c>
      <c r="F20" s="53" t="n">
        <f aca="false">(N(H19)+N(J19))*Premissas!$F$21+AI20</f>
        <v>6.21676845622858</v>
      </c>
      <c r="G20" s="55" t="n">
        <f aca="false">H20+I20+J20+K20</f>
        <v>160.845574445982</v>
      </c>
      <c r="H20" s="53" t="n">
        <f aca="false">N(H19)*(1-Premissas!$F$21)+AC20</f>
        <v>91.8296124222233</v>
      </c>
      <c r="I20" s="53" t="n">
        <f aca="false">SUM(INDEX($AG$6:$AG$29,MAX(1,B20-11)):INDEX($AG$6:$AG$29,B20))</f>
        <v>28.8045684122629</v>
      </c>
      <c r="J20" s="53" t="n">
        <f aca="false">N(J19)*(1-Premissas!$F$21)+AE20</f>
        <v>30.6098708074078</v>
      </c>
      <c r="K20" s="53" t="n">
        <f aca="false">SUM(INDEX($AH$6:$AH$29,MAX(1,B20-11)):INDEX($AH$6:$AH$29,B20))</f>
        <v>9.60152280408763</v>
      </c>
      <c r="L20" s="56" t="n">
        <f aca="false">H20*Premissas!$C$13+I20*Premissas!$F$13/12+J20*Premissas!$C$14+K20*Premissas!$F$14/12</f>
        <v>10100.3381212108</v>
      </c>
      <c r="M20" s="40" t="n">
        <f aca="false">L20*12</f>
        <v>121204.05745453</v>
      </c>
      <c r="N20" s="40" t="n">
        <f aca="false">IFERROR(L20/G20,0)</f>
        <v>62.7952503884583</v>
      </c>
      <c r="O20" s="40" t="n">
        <f aca="false">L20*Premissas!$C$30</f>
        <v>606.02028727265</v>
      </c>
      <c r="P20" s="40" t="n">
        <f aca="false">L20*Premissas!$C$28+AJ20*Premissas!$C$29</f>
        <v>416.112192838656</v>
      </c>
      <c r="Q20" s="40" t="n">
        <f aca="false">G20*Premissas!$C$31</f>
        <v>80.4227872229908</v>
      </c>
      <c r="R20" s="40" t="n">
        <f aca="false">L20-O20-P20-Q20</f>
        <v>8997.78285387653</v>
      </c>
      <c r="S20" s="57" t="n">
        <f aca="false">IFERROR(R20/L20,0)</f>
        <v>0.8908397665402</v>
      </c>
      <c r="T20" s="40" t="n">
        <f aca="false">SUMPRODUCT(Premissas!$C$42:$C$61,--(Premissas!$D$42:$D$61&lt;=B20))</f>
        <v>3395</v>
      </c>
      <c r="U20" s="40" t="n">
        <f aca="false">Premissas!$C$34*(1+Premissas!$C$35)^(B20-1)</f>
        <v>2268.88458728267</v>
      </c>
      <c r="V20" s="40" t="n">
        <f aca="false">D20*Premissas!$C$36*Premissas!$C$37</f>
        <v>123.76963920966</v>
      </c>
      <c r="W20" s="40" t="n">
        <f aca="false">O20+P20+Q20+T20+U20+V20</f>
        <v>6890.20949382662</v>
      </c>
      <c r="X20" s="56" t="n">
        <f aca="false">L20-W20</f>
        <v>3210.1286273842</v>
      </c>
      <c r="Y20" s="40" t="n">
        <f aca="false">N(Y19)+X20</f>
        <v>-7953.56039347728</v>
      </c>
      <c r="Z20" s="40" t="n">
        <f aca="false">IFERROR((U20+V20)/D20,0)</f>
        <v>115.989070103337</v>
      </c>
      <c r="AA20" s="54" t="n">
        <f aca="false">IFERROR(T20/(R20/G20),0)</f>
        <v>60.689475853359</v>
      </c>
      <c r="AB20" s="1"/>
      <c r="AC20" s="58" t="n">
        <f aca="false">D20*(1-Premissas!$F$23)*(1-Premissas!$F$24)</f>
        <v>12.376963920966</v>
      </c>
      <c r="AD20" s="58" t="n">
        <f aca="false">D20*(1-Premissas!$F$23)*Premissas!$F$24</f>
        <v>3.0942409802415</v>
      </c>
      <c r="AE20" s="58" t="n">
        <f aca="false">D20*Premissas!$F$23*(1-Premissas!$F$24)</f>
        <v>4.125654640322</v>
      </c>
      <c r="AF20" s="58" t="n">
        <f aca="false">D20*Premissas!$F$23*Premissas!$F$24</f>
        <v>1.0314136600805</v>
      </c>
      <c r="AG20" s="58" t="n">
        <f aca="false">AD20+IF(B20&gt;12,INDEX($AD$6:$AD$29,B20-12)*Premissas!$F$22,0)</f>
        <v>3.9872629802415</v>
      </c>
      <c r="AH20" s="58" t="n">
        <f aca="false">AF20+IF(B20&gt;12,INDEX($AF$6:$AF$29,B20-12)*Premissas!$F$22,0)</f>
        <v>1.3290876600805</v>
      </c>
      <c r="AI20" s="58" t="n">
        <f aca="false">IF(B20&gt;12,(INDEX($AD$6:$AD$29,B20-12)+INDEX($AF$6:$AF$29,B20-12))*(1-Premissas!$F$22),0)</f>
        <v>0.641144</v>
      </c>
      <c r="AJ20" s="58" t="n">
        <f aca="false">H20+J20+AG20+AH20</f>
        <v>127.755833869953</v>
      </c>
      <c r="AK20" s="59" t="n">
        <f aca="false">IF(X20&gt;0,B20,"")</f>
        <v>15</v>
      </c>
      <c r="AL20" s="1"/>
      <c r="AM20" s="1"/>
      <c r="AN20" s="1"/>
      <c r="AO20" s="1"/>
      <c r="AP20" s="1"/>
      <c r="AQ20" s="1"/>
    </row>
    <row r="21" customFormat="false" ht="15" hidden="false" customHeight="false" outlineLevel="0" collapsed="false">
      <c r="A21" s="1"/>
      <c r="B21" s="51" t="n">
        <f aca="false">B20+1</f>
        <v>16</v>
      </c>
      <c r="C21" s="52" t="n">
        <f aca="false">EDATE(Premissas!$C$7,B21-1)</f>
        <v>46753</v>
      </c>
      <c r="D21" s="53" t="n">
        <f aca="false">Premissas!$F$19*(1+Premissas!$F$20)^(B21-1)</f>
        <v>22.0722523257227</v>
      </c>
      <c r="E21" s="54" t="n">
        <f aca="false">IFERROR(D21/Premissas!$F$25,0)</f>
        <v>110.361261628613</v>
      </c>
      <c r="F21" s="53" t="n">
        <f aca="false">(N(H20)+N(J20))*Premissas!$F$21+AI21</f>
        <v>6.80799824148155</v>
      </c>
      <c r="G21" s="55" t="n">
        <f aca="false">H21+I21+J21+K21</f>
        <v>176.109828530223</v>
      </c>
      <c r="H21" s="53" t="n">
        <f aca="false">N(H20)*(1-Premissas!$F$21)+AC21</f>
        <v>100.481483196546</v>
      </c>
      <c r="I21" s="53" t="n">
        <f aca="false">SUM(INDEX($AG$6:$AG$29,MAX(1,B21-11)):INDEX($AG$6:$AG$29,B21))</f>
        <v>31.6008882011213</v>
      </c>
      <c r="J21" s="53" t="n">
        <f aca="false">N(J20)*(1-Premissas!$F$21)+AE21</f>
        <v>33.4938277321819</v>
      </c>
      <c r="K21" s="53" t="n">
        <f aca="false">SUM(INDEX($AH$6:$AH$29,MAX(1,B21-11)):INDEX($AH$6:$AH$29,B21))</f>
        <v>10.5336294003738</v>
      </c>
      <c r="L21" s="56" t="n">
        <f aca="false">H21*Premissas!$C$13+I21*Premissas!$F$13/12+J21*Premissas!$C$14+K21*Premissas!$F$14/12</f>
        <v>11057.9478669913</v>
      </c>
      <c r="M21" s="40" t="n">
        <f aca="false">L21*12</f>
        <v>132695.374403895</v>
      </c>
      <c r="N21" s="40" t="n">
        <f aca="false">IFERROR(L21/G21,0)</f>
        <v>62.7900666264834</v>
      </c>
      <c r="O21" s="40" t="n">
        <f aca="false">L21*Premissas!$C$30</f>
        <v>663.476872019475</v>
      </c>
      <c r="P21" s="40" t="n">
        <f aca="false">L21*Premissas!$C$28+AJ21*Premissas!$C$29</f>
        <v>455.463440340491</v>
      </c>
      <c r="Q21" s="40" t="n">
        <f aca="false">G21*Premissas!$C$31</f>
        <v>88.0549142651113</v>
      </c>
      <c r="R21" s="40" t="n">
        <f aca="false">L21-O21-P21-Q21</f>
        <v>9850.95264036618</v>
      </c>
      <c r="S21" s="57" t="n">
        <f aca="false">IFERROR(R21/L21,0)</f>
        <v>0.890848171727411</v>
      </c>
      <c r="T21" s="40" t="n">
        <f aca="false">SUMPRODUCT(Premissas!$C$42:$C$61,--(Premissas!$D$42:$D$61&lt;=B21))</f>
        <v>3395</v>
      </c>
      <c r="U21" s="40" t="n">
        <f aca="false">Premissas!$C$34*(1+Premissas!$C$35)^(B21-1)</f>
        <v>2336.95112490115</v>
      </c>
      <c r="V21" s="40" t="n">
        <f aca="false">D21*Premissas!$C$36*Premissas!$C$37</f>
        <v>132.433513954336</v>
      </c>
      <c r="W21" s="40" t="n">
        <f aca="false">O21+P21+Q21+T21+U21+V21</f>
        <v>7071.37986548056</v>
      </c>
      <c r="X21" s="56" t="n">
        <f aca="false">L21-W21</f>
        <v>3986.56800151069</v>
      </c>
      <c r="Y21" s="40" t="n">
        <f aca="false">N(Y20)+X21</f>
        <v>-3966.99239196658</v>
      </c>
      <c r="Z21" s="40" t="n">
        <f aca="false">IFERROR((U21+V21)/D21,0)</f>
        <v>111.877329164894</v>
      </c>
      <c r="AA21" s="54" t="n">
        <f aca="false">IFERROR(T21/(R21/G21),0)</f>
        <v>60.6939135419375</v>
      </c>
      <c r="AB21" s="1"/>
      <c r="AC21" s="58" t="n">
        <f aca="false">D21*(1-Premissas!$F$23)*(1-Premissas!$F$24)</f>
        <v>13.2433513954336</v>
      </c>
      <c r="AD21" s="58" t="n">
        <f aca="false">D21*(1-Premissas!$F$23)*Premissas!$F$24</f>
        <v>3.3108378488584</v>
      </c>
      <c r="AE21" s="58" t="n">
        <f aca="false">D21*Premissas!$F$23*(1-Premissas!$F$24)</f>
        <v>4.41445046514454</v>
      </c>
      <c r="AF21" s="58" t="n">
        <f aca="false">D21*Premissas!$F$23*Premissas!$F$24</f>
        <v>1.10361261628613</v>
      </c>
      <c r="AG21" s="58" t="n">
        <f aca="false">AD21+IF(B21&gt;12,INDEX($AD$6:$AD$29,B21-12)*Premissas!$F$22,0)</f>
        <v>4.2663713888584</v>
      </c>
      <c r="AH21" s="58" t="n">
        <f aca="false">AF21+IF(B21&gt;12,INDEX($AF$6:$AF$29,B21-12)*Premissas!$F$22,0)</f>
        <v>1.42212379628613</v>
      </c>
      <c r="AI21" s="58" t="n">
        <f aca="false">IF(B21&gt;12,(INDEX($AD$6:$AD$29,B21-12)+INDEX($AF$6:$AF$29,B21-12))*(1-Premissas!$F$22),0)</f>
        <v>0.68602408</v>
      </c>
      <c r="AJ21" s="58" t="n">
        <f aca="false">H21+J21+AG21+AH21</f>
        <v>139.663806113872</v>
      </c>
      <c r="AK21" s="59" t="n">
        <f aca="false">IF(X21&gt;0,B21,"")</f>
        <v>16</v>
      </c>
      <c r="AL21" s="1"/>
      <c r="AM21" s="1"/>
      <c r="AN21" s="1"/>
      <c r="AO21" s="1"/>
      <c r="AP21" s="1"/>
      <c r="AQ21" s="1"/>
    </row>
    <row r="22" customFormat="false" ht="15" hidden="false" customHeight="false" outlineLevel="0" collapsed="false">
      <c r="A22" s="1"/>
      <c r="B22" s="51" t="n">
        <f aca="false">B21+1</f>
        <v>17</v>
      </c>
      <c r="C22" s="52" t="n">
        <f aca="false">EDATE(Premissas!$C$7,B22-1)</f>
        <v>46784</v>
      </c>
      <c r="D22" s="53" t="n">
        <f aca="false">Premissas!$F$19*(1+Premissas!$F$20)^(B22-1)</f>
        <v>23.6173099885233</v>
      </c>
      <c r="E22" s="54" t="n">
        <f aca="false">IFERROR(D22/Premissas!$F$25,0)</f>
        <v>118.086549942616</v>
      </c>
      <c r="F22" s="53" t="n">
        <f aca="false">(N(H21)+N(J21))*Premissas!$F$21+AI22</f>
        <v>7.43281131203638</v>
      </c>
      <c r="G22" s="55" t="n">
        <f aca="false">H22+I22+J22+K22</f>
        <v>192.29432720671</v>
      </c>
      <c r="H22" s="53" t="n">
        <f aca="false">N(H21)*(1-Premissas!$F$21)+AC22</f>
        <v>109.627795029832</v>
      </c>
      <c r="I22" s="53" t="n">
        <f aca="false">SUM(INDEX($AG$6:$AG$29,MAX(1,B22-11)):INDEX($AG$6:$AG$29,B22))</f>
        <v>34.5929503751998</v>
      </c>
      <c r="J22" s="53" t="n">
        <f aca="false">N(J21)*(1-Premissas!$F$21)+AE22</f>
        <v>36.5425983432775</v>
      </c>
      <c r="K22" s="53" t="n">
        <f aca="false">SUM(INDEX($AH$6:$AH$29,MAX(1,B22-11)):INDEX($AH$6:$AH$29,B22))</f>
        <v>11.5309834583999</v>
      </c>
      <c r="L22" s="56" t="n">
        <f aca="false">H22*Premissas!$C$13+I22*Premissas!$F$13/12+J22*Premissas!$C$14+K22*Premissas!$F$14/12</f>
        <v>12072.8945361115</v>
      </c>
      <c r="M22" s="40" t="n">
        <f aca="false">L22*12</f>
        <v>144874.734433338</v>
      </c>
      <c r="N22" s="40" t="n">
        <f aca="false">IFERROR(L22/G22,0)</f>
        <v>62.7834149425198</v>
      </c>
      <c r="O22" s="40" t="n">
        <f aca="false">L22*Premissas!$C$30</f>
        <v>724.373672166691</v>
      </c>
      <c r="P22" s="40" t="n">
        <f aca="false">L22*Premissas!$C$28+AJ22*Premissas!$C$29</f>
        <v>497.157279542298</v>
      </c>
      <c r="Q22" s="40" t="n">
        <f aca="false">G22*Premissas!$C$31</f>
        <v>96.1471636033548</v>
      </c>
      <c r="R22" s="40" t="n">
        <f aca="false">L22-O22-P22-Q22</f>
        <v>10755.2164207992</v>
      </c>
      <c r="S22" s="57" t="n">
        <f aca="false">IFERROR(R22/L22,0)</f>
        <v>0.890856487533209</v>
      </c>
      <c r="T22" s="40" t="n">
        <f aca="false">SUMPRODUCT(Premissas!$C$42:$C$61,--(Premissas!$D$42:$D$61&lt;=B22))</f>
        <v>3395</v>
      </c>
      <c r="U22" s="40" t="n">
        <f aca="false">Premissas!$C$34*(1+Premissas!$C$35)^(B22-1)</f>
        <v>2407.05965864818</v>
      </c>
      <c r="V22" s="40" t="n">
        <f aca="false">D22*Premissas!$C$36*Premissas!$C$37</f>
        <v>141.70385993114</v>
      </c>
      <c r="W22" s="40" t="n">
        <f aca="false">O22+P22+Q22+T22+U22+V22</f>
        <v>7261.44163389167</v>
      </c>
      <c r="X22" s="56" t="n">
        <f aca="false">L22-W22</f>
        <v>4811.45290221986</v>
      </c>
      <c r="Y22" s="40" t="n">
        <f aca="false">N(Y21)+X22</f>
        <v>844.460510253273</v>
      </c>
      <c r="Z22" s="40" t="n">
        <f aca="false">IFERROR((U22+V22)/D22,0)</f>
        <v>107.919298168076</v>
      </c>
      <c r="AA22" s="54" t="n">
        <f aca="false">IFERROR(T22/(R22/G22),0)</f>
        <v>60.6997772359349</v>
      </c>
      <c r="AB22" s="1"/>
      <c r="AC22" s="58" t="n">
        <f aca="false">D22*(1-Premissas!$F$23)*(1-Premissas!$F$24)</f>
        <v>14.170385993114</v>
      </c>
      <c r="AD22" s="58" t="n">
        <f aca="false">D22*(1-Premissas!$F$23)*Premissas!$F$24</f>
        <v>3.54259649827849</v>
      </c>
      <c r="AE22" s="58" t="n">
        <f aca="false">D22*Premissas!$F$23*(1-Premissas!$F$24)</f>
        <v>4.72346199770466</v>
      </c>
      <c r="AF22" s="58" t="n">
        <f aca="false">D22*Premissas!$F$23*Premissas!$F$24</f>
        <v>1.18086549942616</v>
      </c>
      <c r="AG22" s="58" t="n">
        <f aca="false">AD22+IF(B22&gt;12,INDEX($AD$6:$AD$29,B22-12)*Premissas!$F$22,0)</f>
        <v>4.56501738607849</v>
      </c>
      <c r="AH22" s="58" t="n">
        <f aca="false">AF22+IF(B22&gt;12,INDEX($AF$6:$AF$29,B22-12)*Premissas!$F$22,0)</f>
        <v>1.52167246202616</v>
      </c>
      <c r="AI22" s="58" t="n">
        <f aca="false">IF(B22&gt;12,(INDEX($AD$6:$AD$29,B22-12)+INDEX($AF$6:$AF$29,B22-12))*(1-Premissas!$F$22),0)</f>
        <v>0.7340457656</v>
      </c>
      <c r="AJ22" s="58" t="n">
        <f aca="false">H22+J22+AG22+AH22</f>
        <v>152.257083221215</v>
      </c>
      <c r="AK22" s="59" t="n">
        <f aca="false">IF(X22&gt;0,B22,"")</f>
        <v>17</v>
      </c>
      <c r="AL22" s="1"/>
      <c r="AM22" s="1"/>
      <c r="AN22" s="1"/>
      <c r="AO22" s="1"/>
      <c r="AP22" s="1"/>
      <c r="AQ22" s="1"/>
    </row>
    <row r="23" customFormat="false" ht="15" hidden="false" customHeight="false" outlineLevel="0" collapsed="false">
      <c r="A23" s="1"/>
      <c r="B23" s="51" t="n">
        <f aca="false">B22+1</f>
        <v>18</v>
      </c>
      <c r="C23" s="52" t="n">
        <f aca="false">EDATE(Premissas!$C$7,B23-1)</f>
        <v>46813</v>
      </c>
      <c r="D23" s="53" t="n">
        <f aca="false">Premissas!$F$19*(1+Premissas!$F$20)^(B23-1)</f>
        <v>25.2705216877199</v>
      </c>
      <c r="E23" s="54" t="n">
        <f aca="false">IFERROR(D23/Premissas!$F$25,0)</f>
        <v>126.3526084386</v>
      </c>
      <c r="F23" s="53" t="n">
        <f aca="false">(N(H22)+N(J22))*Premissas!$F$21+AI23</f>
        <v>8.09394863784749</v>
      </c>
      <c r="G23" s="55" t="n">
        <f aca="false">H23+I23+J23+K23</f>
        <v>209.470900256582</v>
      </c>
      <c r="H23" s="53" t="n">
        <f aca="false">N(H22)*(1-Premissas!$F$21)+AC23</f>
        <v>119.308718290973</v>
      </c>
      <c r="I23" s="53" t="n">
        <f aca="false">SUM(INDEX($AG$6:$AG$29,MAX(1,B23-11)):INDEX($AG$6:$AG$29,B23))</f>
        <v>37.7944569014638</v>
      </c>
      <c r="J23" s="53" t="n">
        <f aca="false">N(J22)*(1-Premissas!$F$21)+AE23</f>
        <v>39.7695727636576</v>
      </c>
      <c r="K23" s="53" t="n">
        <f aca="false">SUM(INDEX($AH$6:$AH$29,MAX(1,B23-11)):INDEX($AH$6:$AH$29,B23))</f>
        <v>12.5981523004879</v>
      </c>
      <c r="L23" s="56" t="n">
        <f aca="false">H23*Premissas!$C$13+I23*Premissas!$F$13/12+J23*Premissas!$C$14+K23*Premissas!$F$14/12</f>
        <v>13149.6765011487</v>
      </c>
      <c r="M23" s="40" t="n">
        <f aca="false">L23*12</f>
        <v>157796.118013784</v>
      </c>
      <c r="N23" s="40" t="n">
        <f aca="false">IFERROR(L23/G23,0)</f>
        <v>62.7756718715658</v>
      </c>
      <c r="O23" s="40" t="n">
        <f aca="false">L23*Premissas!$C$30</f>
        <v>788.98059006892</v>
      </c>
      <c r="P23" s="40" t="n">
        <f aca="false">L23*Premissas!$C$28+AJ23*Premissas!$C$29</f>
        <v>541.378291644334</v>
      </c>
      <c r="Q23" s="40" t="n">
        <f aca="false">G23*Premissas!$C$31</f>
        <v>104.735450128291</v>
      </c>
      <c r="R23" s="40" t="n">
        <f aca="false">L23-O23-P23-Q23</f>
        <v>11714.5821693071</v>
      </c>
      <c r="S23" s="57" t="n">
        <f aca="false">IFERROR(R23/L23,0)</f>
        <v>0.890864666388091</v>
      </c>
      <c r="T23" s="40" t="n">
        <f aca="false">SUMPRODUCT(Premissas!$C$42:$C$61,--(Premissas!$D$42:$D$61&lt;=B23))</f>
        <v>3395</v>
      </c>
      <c r="U23" s="40" t="n">
        <f aca="false">Premissas!$C$34*(1+Premissas!$C$35)^(B23-1)</f>
        <v>2479.27144840763</v>
      </c>
      <c r="V23" s="40" t="n">
        <f aca="false">D23*Premissas!$C$36*Premissas!$C$37</f>
        <v>151.62313012632</v>
      </c>
      <c r="W23" s="40" t="n">
        <f aca="false">O23+P23+Q23+T23+U23+V23</f>
        <v>7460.98891037549</v>
      </c>
      <c r="X23" s="56" t="n">
        <f aca="false">L23-W23</f>
        <v>5688.68759077318</v>
      </c>
      <c r="Y23" s="40" t="n">
        <f aca="false">N(Y22)+X23</f>
        <v>6533.14810102645</v>
      </c>
      <c r="Z23" s="40" t="n">
        <f aca="false">IFERROR((U23+V23)/D23,0)</f>
        <v>104.109230946839</v>
      </c>
      <c r="AA23" s="54" t="n">
        <f aca="false">IFERROR(T23/(R23/G23),0)</f>
        <v>60.7067069139145</v>
      </c>
      <c r="AB23" s="1"/>
      <c r="AC23" s="58" t="n">
        <f aca="false">D23*(1-Premissas!$F$23)*(1-Premissas!$F$24)</f>
        <v>15.1623130126319</v>
      </c>
      <c r="AD23" s="58" t="n">
        <f aca="false">D23*(1-Premissas!$F$23)*Premissas!$F$24</f>
        <v>3.79057825315799</v>
      </c>
      <c r="AE23" s="58" t="n">
        <f aca="false">D23*Premissas!$F$23*(1-Premissas!$F$24)</f>
        <v>5.05410433754398</v>
      </c>
      <c r="AF23" s="58" t="n">
        <f aca="false">D23*Premissas!$F$23*Premissas!$F$24</f>
        <v>1.263526084386</v>
      </c>
      <c r="AG23" s="58" t="n">
        <f aca="false">AD23+IF(B23&gt;12,INDEX($AD$6:$AD$29,B23-12)*Premissas!$F$22,0)</f>
        <v>4.88456860310399</v>
      </c>
      <c r="AH23" s="58" t="n">
        <f aca="false">AF23+IF(B23&gt;12,INDEX($AF$6:$AF$29,B23-12)*Premissas!$F$22,0)</f>
        <v>1.628189534368</v>
      </c>
      <c r="AI23" s="58" t="n">
        <f aca="false">IF(B23&gt;12,(INDEX($AD$6:$AD$29,B23-12)+INDEX($AF$6:$AF$29,B23-12))*(1-Premissas!$F$22),0)</f>
        <v>0.785428969192</v>
      </c>
      <c r="AJ23" s="58" t="n">
        <f aca="false">H23+J23+AG23+AH23</f>
        <v>165.591049192102</v>
      </c>
      <c r="AK23" s="59" t="n">
        <f aca="false">IF(X23&gt;0,B23,"")</f>
        <v>18</v>
      </c>
      <c r="AL23" s="1"/>
      <c r="AM23" s="1"/>
      <c r="AN23" s="1"/>
      <c r="AO23" s="1"/>
      <c r="AP23" s="1"/>
      <c r="AQ23" s="1"/>
    </row>
    <row r="24" customFormat="false" ht="15" hidden="false" customHeight="false" outlineLevel="0" collapsed="false">
      <c r="A24" s="1"/>
      <c r="B24" s="51" t="n">
        <f aca="false">B23+1</f>
        <v>19</v>
      </c>
      <c r="C24" s="52" t="n">
        <f aca="false">EDATE(Premissas!$C$7,B24-1)</f>
        <v>46844</v>
      </c>
      <c r="D24" s="53" t="n">
        <f aca="false">Premissas!$F$19*(1+Premissas!$F$20)^(B24-1)</f>
        <v>27.0394582058603</v>
      </c>
      <c r="E24" s="54" t="n">
        <f aca="false">IFERROR(D24/Premissas!$F$25,0)</f>
        <v>135.197291029302</v>
      </c>
      <c r="F24" s="53" t="n">
        <f aca="false">(N(H23)+N(J23))*Premissas!$F$21+AI24</f>
        <v>8.79432354976695</v>
      </c>
      <c r="G24" s="55" t="n">
        <f aca="false">H24+I24+J24+K24</f>
        <v>227.716034912675</v>
      </c>
      <c r="H24" s="53" t="n">
        <f aca="false">N(H23)*(1-Premissas!$F$21)+AC24</f>
        <v>129.56695729994</v>
      </c>
      <c r="I24" s="53" t="n">
        <f aca="false">SUM(INDEX($AG$6:$AG$29,MAX(1,B24-11)):INDEX($AG$6:$AG$29,B24))</f>
        <v>41.2200688845662</v>
      </c>
      <c r="J24" s="53" t="n">
        <f aca="false">N(J23)*(1-Premissas!$F$21)+AE24</f>
        <v>43.1889857666467</v>
      </c>
      <c r="K24" s="53" t="n">
        <f aca="false">SUM(INDEX($AH$6:$AH$29,MAX(1,B24-11)):INDEX($AH$6:$AH$29,B24))</f>
        <v>13.7400229615221</v>
      </c>
      <c r="L24" s="56" t="n">
        <f aca="false">H24*Premissas!$C$13+I24*Premissas!$F$13/12+J24*Premissas!$C$14+K24*Premissas!$F$14/12</f>
        <v>14293.082781363</v>
      </c>
      <c r="M24" s="40" t="n">
        <f aca="false">L24*12</f>
        <v>171516.993376355</v>
      </c>
      <c r="N24" s="40" t="n">
        <f aca="false">IFERROR(L24/G24,0)</f>
        <v>62.7671335786436</v>
      </c>
      <c r="O24" s="40" t="n">
        <f aca="false">L24*Premissas!$C$30</f>
        <v>857.584966881777</v>
      </c>
      <c r="P24" s="40" t="n">
        <f aca="false">L24*Premissas!$C$28+AJ24*Premissas!$C$29</f>
        <v>588.322948541808</v>
      </c>
      <c r="Q24" s="40" t="n">
        <f aca="false">G24*Premissas!$C$31</f>
        <v>113.858017456338</v>
      </c>
      <c r="R24" s="40" t="n">
        <f aca="false">L24-O24-P24-Q24</f>
        <v>12733.316848483</v>
      </c>
      <c r="S24" s="57" t="n">
        <f aca="false">IFERROR(R24/L24,0)</f>
        <v>0.890872671995314</v>
      </c>
      <c r="T24" s="40" t="n">
        <f aca="false">SUMPRODUCT(Premissas!$C$42:$C$61,--(Premissas!$D$42:$D$61&lt;=B24))</f>
        <v>3395</v>
      </c>
      <c r="U24" s="40" t="n">
        <f aca="false">Premissas!$C$34*(1+Premissas!$C$35)^(B24-1)</f>
        <v>2553.64959185986</v>
      </c>
      <c r="V24" s="40" t="n">
        <f aca="false">D24*Premissas!$C$36*Premissas!$C$37</f>
        <v>162.236749235162</v>
      </c>
      <c r="W24" s="40" t="n">
        <f aca="false">O24+P24+Q24+T24+U24+V24</f>
        <v>7670.65227397494</v>
      </c>
      <c r="X24" s="56" t="n">
        <f aca="false">L24-W24</f>
        <v>6622.43050738801</v>
      </c>
      <c r="Y24" s="40" t="n">
        <f aca="false">N(Y23)+X24</f>
        <v>13155.5786084145</v>
      </c>
      <c r="Z24" s="40" t="n">
        <f aca="false">IFERROR((U24+V24)/D24,0)</f>
        <v>100.441596145088</v>
      </c>
      <c r="AA24" s="54" t="n">
        <f aca="false">IFERROR(T24/(R24/G24),0)</f>
        <v>60.714419324344</v>
      </c>
      <c r="AB24" s="1"/>
      <c r="AC24" s="58" t="n">
        <f aca="false">D24*(1-Premissas!$F$23)*(1-Premissas!$F$24)</f>
        <v>16.2236749235162</v>
      </c>
      <c r="AD24" s="58" t="n">
        <f aca="false">D24*(1-Premissas!$F$23)*Premissas!$F$24</f>
        <v>4.05591873087905</v>
      </c>
      <c r="AE24" s="58" t="n">
        <f aca="false">D24*Premissas!$F$23*(1-Premissas!$F$24)</f>
        <v>5.40789164117206</v>
      </c>
      <c r="AF24" s="58" t="n">
        <f aca="false">D24*Premissas!$F$23*Premissas!$F$24</f>
        <v>1.35197291029302</v>
      </c>
      <c r="AG24" s="58" t="n">
        <f aca="false">AD24+IF(B24&gt;12,INDEX($AD$6:$AD$29,B24-12)*Premissas!$F$22,0)</f>
        <v>5.22648840532127</v>
      </c>
      <c r="AH24" s="58" t="n">
        <f aca="false">AF24+IF(B24&gt;12,INDEX($AF$6:$AF$29,B24-12)*Premissas!$F$22,0)</f>
        <v>1.74216280177376</v>
      </c>
      <c r="AI24" s="58" t="n">
        <f aca="false">IF(B24&gt;12,(INDEX($AD$6:$AD$29,B24-12)+INDEX($AF$6:$AF$29,B24-12))*(1-Premissas!$F$22),0)</f>
        <v>0.84040899703544</v>
      </c>
      <c r="AJ24" s="58" t="n">
        <f aca="false">H24+J24+AG24+AH24</f>
        <v>179.724594273682</v>
      </c>
      <c r="AK24" s="59" t="n">
        <f aca="false">IF(X24&gt;0,B24,"")</f>
        <v>19</v>
      </c>
      <c r="AL24" s="1"/>
      <c r="AM24" s="1"/>
      <c r="AN24" s="1"/>
      <c r="AO24" s="1"/>
      <c r="AP24" s="1"/>
      <c r="AQ24" s="1"/>
    </row>
    <row r="25" customFormat="false" ht="15" hidden="false" customHeight="false" outlineLevel="0" collapsed="false">
      <c r="A25" s="1"/>
      <c r="B25" s="51" t="n">
        <f aca="false">B24+1</f>
        <v>20</v>
      </c>
      <c r="C25" s="52" t="n">
        <f aca="false">EDATE(Premissas!$C$7,B25-1)</f>
        <v>46874</v>
      </c>
      <c r="D25" s="53" t="n">
        <f aca="false">Premissas!$F$19*(1+Premissas!$F$20)^(B25-1)</f>
        <v>28.9322202802705</v>
      </c>
      <c r="E25" s="54" t="n">
        <f aca="false">IFERROR(D25/Premissas!$F$25,0)</f>
        <v>144.661101401353</v>
      </c>
      <c r="F25" s="53" t="n">
        <f aca="false">(N(H24)+N(J24))*Premissas!$F$21+AI25</f>
        <v>9.53703478015727</v>
      </c>
      <c r="G25" s="55" t="n">
        <f aca="false">H25+I25+J25+K25</f>
        <v>247.111220412789</v>
      </c>
      <c r="H25" s="53" t="n">
        <f aca="false">N(H24)*(1-Premissas!$F$21)+AC25</f>
        <v>140.447941603106</v>
      </c>
      <c r="I25" s="53" t="n">
        <f aca="false">SUM(INDEX($AG$6:$AG$29,MAX(1,B25-11)):INDEX($AG$6:$AG$29,B25))</f>
        <v>44.8854737064859</v>
      </c>
      <c r="J25" s="53" t="n">
        <f aca="false">N(J24)*(1-Premissas!$F$21)+AE25</f>
        <v>46.8159805343685</v>
      </c>
      <c r="K25" s="53" t="n">
        <f aca="false">SUM(INDEX($AH$6:$AH$29,MAX(1,B25-11)):INDEX($AH$6:$AH$29,B25))</f>
        <v>14.9618245688286</v>
      </c>
      <c r="L25" s="56" t="n">
        <f aca="false">H25*Premissas!$C$13+I25*Premissas!$F$13/12+J25*Premissas!$C$14+K25*Premissas!$F$14/12</f>
        <v>15508.2145999355</v>
      </c>
      <c r="M25" s="40" t="n">
        <f aca="false">L25*12</f>
        <v>186098.575199226</v>
      </c>
      <c r="N25" s="40" t="n">
        <f aca="false">IFERROR(L25/G25,0)</f>
        <v>62.7580349205906</v>
      </c>
      <c r="O25" s="40" t="n">
        <f aca="false">L25*Premissas!$C$30</f>
        <v>930.492875996132</v>
      </c>
      <c r="P25" s="40" t="n">
        <f aca="false">L25*Premissas!$C$28+AJ25*Premissas!$C$29</f>
        <v>638.200496672986</v>
      </c>
      <c r="Q25" s="40" t="n">
        <f aca="false">G25*Premissas!$C$31</f>
        <v>123.555610206394</v>
      </c>
      <c r="R25" s="40" t="n">
        <f aca="false">L25-O25-P25-Q25</f>
        <v>13815.96561706</v>
      </c>
      <c r="S25" s="57" t="n">
        <f aca="false">IFERROR(R25/L25,0)</f>
        <v>0.890880476796952</v>
      </c>
      <c r="T25" s="40" t="n">
        <f aca="false">SUMPRODUCT(Premissas!$C$42:$C$61,--(Premissas!$D$42:$D$61&lt;=B25))</f>
        <v>3395</v>
      </c>
      <c r="U25" s="40" t="n">
        <f aca="false">Premissas!$C$34*(1+Premissas!$C$35)^(B25-1)</f>
        <v>2630.25907961565</v>
      </c>
      <c r="V25" s="40" t="n">
        <f aca="false">D25*Premissas!$C$36*Premissas!$C$37</f>
        <v>173.593321681623</v>
      </c>
      <c r="W25" s="40" t="n">
        <f aca="false">O25+P25+Q25+T25+U25+V25</f>
        <v>7891.10138417279</v>
      </c>
      <c r="X25" s="56" t="n">
        <f aca="false">L25-W25</f>
        <v>7617.11321576275</v>
      </c>
      <c r="Y25" s="40" t="n">
        <f aca="false">N(Y24)+X25</f>
        <v>20772.6918241772</v>
      </c>
      <c r="Z25" s="40" t="n">
        <f aca="false">IFERROR((U25+V25)/D25,0)</f>
        <v>96.9110691863935</v>
      </c>
      <c r="AA25" s="54" t="n">
        <f aca="false">IFERROR(T25/(R25/G25),0)</f>
        <v>60.7226897167062</v>
      </c>
      <c r="AB25" s="1"/>
      <c r="AC25" s="58" t="n">
        <f aca="false">D25*(1-Premissas!$F$23)*(1-Premissas!$F$24)</f>
        <v>17.3593321681623</v>
      </c>
      <c r="AD25" s="58" t="n">
        <f aca="false">D25*(1-Premissas!$F$23)*Premissas!$F$24</f>
        <v>4.33983304204058</v>
      </c>
      <c r="AE25" s="58" t="n">
        <f aca="false">D25*Premissas!$F$23*(1-Premissas!$F$24)</f>
        <v>5.78644405605411</v>
      </c>
      <c r="AF25" s="58" t="n">
        <f aca="false">D25*Premissas!$F$23*Premissas!$F$24</f>
        <v>1.44661101401353</v>
      </c>
      <c r="AG25" s="58" t="n">
        <f aca="false">AD25+IF(B25&gt;12,INDEX($AD$6:$AD$29,B25-12)*Premissas!$F$22,0)</f>
        <v>5.59234259369376</v>
      </c>
      <c r="AH25" s="58" t="n">
        <f aca="false">AF25+IF(B25&gt;12,INDEX($AF$6:$AF$29,B25-12)*Premissas!$F$22,0)</f>
        <v>1.86411419789792</v>
      </c>
      <c r="AI25" s="58" t="n">
        <f aca="false">IF(B25&gt;12,(INDEX($AD$6:$AD$29,B25-12)+INDEX($AF$6:$AF$29,B25-12))*(1-Premissas!$F$22),0)</f>
        <v>0.899237626827921</v>
      </c>
      <c r="AJ25" s="58" t="n">
        <f aca="false">H25+J25+AG25+AH25</f>
        <v>194.720378929066</v>
      </c>
      <c r="AK25" s="59" t="n">
        <f aca="false">IF(X25&gt;0,B25,"")</f>
        <v>20</v>
      </c>
      <c r="AL25" s="1"/>
      <c r="AM25" s="1"/>
      <c r="AN25" s="1"/>
      <c r="AO25" s="1"/>
      <c r="AP25" s="1"/>
      <c r="AQ25" s="1"/>
    </row>
    <row r="26" customFormat="false" ht="15" hidden="false" customHeight="false" outlineLevel="0" collapsed="false">
      <c r="A26" s="1"/>
      <c r="B26" s="51" t="n">
        <f aca="false">B25+1</f>
        <v>21</v>
      </c>
      <c r="C26" s="52" t="n">
        <f aca="false">EDATE(Premissas!$C$7,B26-1)</f>
        <v>46905</v>
      </c>
      <c r="D26" s="53" t="n">
        <f aca="false">Premissas!$F$19*(1+Premissas!$F$20)^(B26-1)</f>
        <v>30.9574756998895</v>
      </c>
      <c r="E26" s="54" t="n">
        <f aca="false">IFERROR(D26/Premissas!$F$25,0)</f>
        <v>154.787378499447</v>
      </c>
      <c r="F26" s="53" t="n">
        <f aca="false">(N(H25)+N(J25))*Premissas!$F$21+AI26</f>
        <v>10.3253803675796</v>
      </c>
      <c r="G26" s="55" t="n">
        <f aca="false">H26+I26+J26+K26</f>
        <v>267.743315745098</v>
      </c>
      <c r="H26" s="53" t="n">
        <f aca="false">N(H25)*(1-Premissas!$F$21)+AC26</f>
        <v>152.000029942884</v>
      </c>
      <c r="I26" s="53" t="n">
        <f aca="false">SUM(INDEX($AG$6:$AG$29,MAX(1,B26-11)):INDEX($AG$6:$AG$29,B26))</f>
        <v>48.8074568659399</v>
      </c>
      <c r="J26" s="53" t="n">
        <f aca="false">N(J25)*(1-Premissas!$F$21)+AE26</f>
        <v>50.666676647628</v>
      </c>
      <c r="K26" s="53" t="n">
        <f aca="false">SUM(INDEX($AH$6:$AH$29,MAX(1,B26-11)):INDEX($AH$6:$AH$29,B26))</f>
        <v>16.2691522886466</v>
      </c>
      <c r="L26" s="56" t="n">
        <f aca="false">H26*Premissas!$C$13+I26*Premissas!$F$13/12+J26*Premissas!$C$14+K26*Premissas!$F$14/12</f>
        <v>16800.5083896143</v>
      </c>
      <c r="M26" s="40" t="n">
        <f aca="false">L26*12</f>
        <v>201606.100675372</v>
      </c>
      <c r="N26" s="40" t="n">
        <f aca="false">IFERROR(L26/G26,0)</f>
        <v>62.7485632754659</v>
      </c>
      <c r="O26" s="40" t="n">
        <f aca="false">L26*Premissas!$C$30</f>
        <v>1008.03050337686</v>
      </c>
      <c r="P26" s="40" t="n">
        <f aca="false">L26*Premissas!$C$28+AJ26*Premissas!$C$29</f>
        <v>691.233900161684</v>
      </c>
      <c r="Q26" s="40" t="n">
        <f aca="false">G26*Premissas!$C$31</f>
        <v>133.871657872549</v>
      </c>
      <c r="R26" s="40" t="n">
        <f aca="false">L26-O26-P26-Q26</f>
        <v>14967.3723282032</v>
      </c>
      <c r="S26" s="57" t="n">
        <f aca="false">IFERROR(R26/L26,0)</f>
        <v>0.890888060117021</v>
      </c>
      <c r="T26" s="40" t="n">
        <f aca="false">SUMPRODUCT(Premissas!$C$42:$C$61,--(Premissas!$D$42:$D$61&lt;=B26))</f>
        <v>3395</v>
      </c>
      <c r="U26" s="40" t="n">
        <f aca="false">Premissas!$C$34*(1+Premissas!$C$35)^(B26-1)</f>
        <v>2709.16685200412</v>
      </c>
      <c r="V26" s="40" t="n">
        <f aca="false">D26*Premissas!$C$36*Premissas!$C$37</f>
        <v>185.744854199337</v>
      </c>
      <c r="W26" s="40" t="n">
        <f aca="false">O26+P26+Q26+T26+U26+V26</f>
        <v>8123.04776761455</v>
      </c>
      <c r="X26" s="56" t="n">
        <f aca="false">L26-W26</f>
        <v>8677.46062199979</v>
      </c>
      <c r="Y26" s="40" t="n">
        <f aca="false">N(Y25)+X26</f>
        <v>29450.152446177</v>
      </c>
      <c r="Z26" s="40" t="n">
        <f aca="false">IFERROR((U26+V26)/D26,0)</f>
        <v>93.5125245439115</v>
      </c>
      <c r="AA26" s="54" t="n">
        <f aca="false">IFERROR(T26/(R26/G26),0)</f>
        <v>60.7313386092352</v>
      </c>
      <c r="AB26" s="1"/>
      <c r="AC26" s="58" t="n">
        <f aca="false">D26*(1-Premissas!$F$23)*(1-Premissas!$F$24)</f>
        <v>18.5744854199337</v>
      </c>
      <c r="AD26" s="58" t="n">
        <f aca="false">D26*(1-Premissas!$F$23)*Premissas!$F$24</f>
        <v>4.64362135498342</v>
      </c>
      <c r="AE26" s="58" t="n">
        <f aca="false">D26*Premissas!$F$23*(1-Premissas!$F$24)</f>
        <v>6.19149513997789</v>
      </c>
      <c r="AF26" s="58" t="n">
        <f aca="false">D26*Premissas!$F$23*Premissas!$F$24</f>
        <v>1.54787378499447</v>
      </c>
      <c r="AG26" s="58" t="n">
        <f aca="false">AD26+IF(B26&gt;12,INDEX($AD$6:$AD$29,B26-12)*Premissas!$F$22,0)</f>
        <v>5.98380657525232</v>
      </c>
      <c r="AH26" s="58" t="n">
        <f aca="false">AF26+IF(B26&gt;12,INDEX($AF$6:$AF$29,B26-12)*Premissas!$F$22,0)</f>
        <v>1.99460219175077</v>
      </c>
      <c r="AI26" s="58" t="n">
        <f aca="false">IF(B26&gt;12,(INDEX($AD$6:$AD$29,B26-12)+INDEX($AF$6:$AF$29,B26-12))*(1-Premissas!$F$22),0)</f>
        <v>0.962184260705876</v>
      </c>
      <c r="AJ26" s="58" t="n">
        <f aca="false">H26+J26+AG26+AH26</f>
        <v>210.645115357515</v>
      </c>
      <c r="AK26" s="59" t="n">
        <f aca="false">IF(X26&gt;0,B26,"")</f>
        <v>21</v>
      </c>
      <c r="AL26" s="1"/>
      <c r="AM26" s="1"/>
      <c r="AN26" s="1"/>
      <c r="AO26" s="1"/>
      <c r="AP26" s="1"/>
      <c r="AQ26" s="1"/>
    </row>
    <row r="27" customFormat="false" ht="15" hidden="false" customHeight="false" outlineLevel="0" collapsed="false">
      <c r="A27" s="1"/>
      <c r="B27" s="51" t="n">
        <f aca="false">B26+1</f>
        <v>22</v>
      </c>
      <c r="C27" s="52" t="n">
        <f aca="false">EDATE(Premissas!$C$7,B27-1)</f>
        <v>46935</v>
      </c>
      <c r="D27" s="53" t="n">
        <f aca="false">Premissas!$F$19*(1+Premissas!$F$20)^(B27-1)</f>
        <v>33.1244989988817</v>
      </c>
      <c r="E27" s="54" t="n">
        <f aca="false">IFERROR(D27/Premissas!$F$25,0)</f>
        <v>165.622494994409</v>
      </c>
      <c r="F27" s="53" t="n">
        <f aca="false">(N(H26)+N(J26))*Premissas!$F$21+AI27</f>
        <v>11.1628724884809</v>
      </c>
      <c r="G27" s="55" t="n">
        <f aca="false">H27+I27+J27+K27</f>
        <v>289.704942255499</v>
      </c>
      <c r="H27" s="53" t="n">
        <f aca="false">N(H26)*(1-Premissas!$F$21)+AC27</f>
        <v>164.274727845069</v>
      </c>
      <c r="I27" s="53" t="n">
        <f aca="false">SUM(INDEX($AG$6:$AG$29,MAX(1,B27-11)):INDEX($AG$6:$AG$29,B27))</f>
        <v>53.0039788465557</v>
      </c>
      <c r="J27" s="53" t="n">
        <f aca="false">N(J26)*(1-Premissas!$F$21)+AE27</f>
        <v>54.7582426150229</v>
      </c>
      <c r="K27" s="53" t="n">
        <f aca="false">SUM(INDEX($AH$6:$AH$29,MAX(1,B27-11)):INDEX($AH$6:$AH$29,B27))</f>
        <v>17.6679929488519</v>
      </c>
      <c r="L27" s="56" t="n">
        <f aca="false">H27*Premissas!$C$13+I27*Premissas!$F$13/12+J27*Premissas!$C$14+K27*Premissas!$F$14/12</f>
        <v>18175.7603511865</v>
      </c>
      <c r="M27" s="40" t="n">
        <f aca="false">L27*12</f>
        <v>218109.124214238</v>
      </c>
      <c r="N27" s="40" t="n">
        <f aca="false">IFERROR(L27/G27,0)</f>
        <v>62.7388687596388</v>
      </c>
      <c r="O27" s="40" t="n">
        <f aca="false">L27*Premissas!$C$30</f>
        <v>1090.54562107119</v>
      </c>
      <c r="P27" s="40" t="n">
        <f aca="false">L27*Premissas!$C$28+AJ27*Premissas!$C$29</f>
        <v>747.660847533512</v>
      </c>
      <c r="Q27" s="40" t="n">
        <f aca="false">G27*Premissas!$C$31</f>
        <v>144.85247112775</v>
      </c>
      <c r="R27" s="40" t="n">
        <f aca="false">L27-O27-P27-Q27</f>
        <v>16192.701411454</v>
      </c>
      <c r="S27" s="57" t="n">
        <f aca="false">IFERROR(R27/L27,0)</f>
        <v>0.890895406771635</v>
      </c>
      <c r="T27" s="40" t="n">
        <f aca="false">SUMPRODUCT(Premissas!$C$42:$C$61,--(Premissas!$D$42:$D$61&lt;=B27))</f>
        <v>3395</v>
      </c>
      <c r="U27" s="40" t="n">
        <f aca="false">Premissas!$C$34*(1+Premissas!$C$35)^(B27-1)</f>
        <v>2790.44185756425</v>
      </c>
      <c r="V27" s="40" t="n">
        <f aca="false">D27*Premissas!$C$36*Premissas!$C$37</f>
        <v>198.74699399329</v>
      </c>
      <c r="W27" s="40" t="n">
        <f aca="false">O27+P27+Q27+T27+U27+V27</f>
        <v>8367.24779128999</v>
      </c>
      <c r="X27" s="56" t="n">
        <f aca="false">L27-W27</f>
        <v>9808.51255989651</v>
      </c>
      <c r="Y27" s="40" t="n">
        <f aca="false">N(Y26)+X27</f>
        <v>39258.6650060735</v>
      </c>
      <c r="Z27" s="40" t="n">
        <f aca="false">IFERROR((U27+V27)/D27,0)</f>
        <v>90.2410282992793</v>
      </c>
      <c r="AA27" s="54" t="n">
        <f aca="false">IFERROR(T27/(R27/G27),0)</f>
        <v>60.7402220275425</v>
      </c>
      <c r="AB27" s="1"/>
      <c r="AC27" s="58" t="n">
        <f aca="false">D27*(1-Premissas!$F$23)*(1-Premissas!$F$24)</f>
        <v>19.874699399329</v>
      </c>
      <c r="AD27" s="58" t="n">
        <f aca="false">D27*(1-Premissas!$F$23)*Premissas!$F$24</f>
        <v>4.96867484983226</v>
      </c>
      <c r="AE27" s="58" t="n">
        <f aca="false">D27*Premissas!$F$23*(1-Premissas!$F$24)</f>
        <v>6.62489979977635</v>
      </c>
      <c r="AF27" s="58" t="n">
        <f aca="false">D27*Premissas!$F$23*Premissas!$F$24</f>
        <v>1.65622494994409</v>
      </c>
      <c r="AG27" s="58" t="n">
        <f aca="false">AD27+IF(B27&gt;12,INDEX($AD$6:$AD$29,B27-12)*Premissas!$F$22,0)</f>
        <v>6.40267303551998</v>
      </c>
      <c r="AH27" s="58" t="n">
        <f aca="false">AF27+IF(B27&gt;12,INDEX($AF$6:$AF$29,B27-12)*Premissas!$F$22,0)</f>
        <v>2.13422434517333</v>
      </c>
      <c r="AI27" s="58" t="n">
        <f aca="false">IF(B27&gt;12,(INDEX($AD$6:$AD$29,B27-12)+INDEX($AF$6:$AF$29,B27-12))*(1-Premissas!$F$22),0)</f>
        <v>1.02953715895529</v>
      </c>
      <c r="AJ27" s="58" t="n">
        <f aca="false">H27+J27+AG27+AH27</f>
        <v>227.569867840785</v>
      </c>
      <c r="AK27" s="59" t="n">
        <f aca="false">IF(X27&gt;0,B27,"")</f>
        <v>22</v>
      </c>
      <c r="AL27" s="1"/>
      <c r="AM27" s="1"/>
      <c r="AN27" s="1"/>
      <c r="AO27" s="1"/>
      <c r="AP27" s="1"/>
      <c r="AQ27" s="1"/>
    </row>
    <row r="28" customFormat="false" ht="15" hidden="false" customHeight="false" outlineLevel="0" collapsed="false">
      <c r="A28" s="1"/>
      <c r="B28" s="51" t="n">
        <f aca="false">B27+1</f>
        <v>23</v>
      </c>
      <c r="C28" s="52" t="n">
        <f aca="false">EDATE(Premissas!$C$7,B28-1)</f>
        <v>46966</v>
      </c>
      <c r="D28" s="53" t="n">
        <f aca="false">Premissas!$F$19*(1+Premissas!$F$20)^(B28-1)</f>
        <v>35.4432139288035</v>
      </c>
      <c r="E28" s="54" t="n">
        <f aca="false">IFERROR(D28/Premissas!$F$25,0)</f>
        <v>177.216069644017</v>
      </c>
      <c r="F28" s="53" t="n">
        <f aca="false">(N(H27)+N(J27))*Premissas!$F$21+AI28</f>
        <v>12.0532532830867</v>
      </c>
      <c r="G28" s="55" t="n">
        <f aca="false">H28+I28+J28+K28</f>
        <v>313.094902901216</v>
      </c>
      <c r="H28" s="53" t="n">
        <f aca="false">N(H27)*(1-Premissas!$F$21)+AC28</f>
        <v>177.326919810097</v>
      </c>
      <c r="I28" s="53" t="n">
        <f aca="false">SUM(INDEX($AG$6:$AG$29,MAX(1,B28-11)):INDEX($AG$6:$AG$29,B28))</f>
        <v>57.4942573658146</v>
      </c>
      <c r="J28" s="53" t="n">
        <f aca="false">N(J27)*(1-Premissas!$F$21)+AE28</f>
        <v>59.1089732700325</v>
      </c>
      <c r="K28" s="53" t="n">
        <f aca="false">SUM(INDEX($AH$6:$AH$29,MAX(1,B28-11)):INDEX($AH$6:$AH$29,B28))</f>
        <v>19.1647524552715</v>
      </c>
      <c r="L28" s="56" t="n">
        <f aca="false">H28*Premissas!$C$13+I28*Premissas!$F$13/12+J28*Premissas!$C$14+K28*Premissas!$F$14/12</f>
        <v>19640.1526763538</v>
      </c>
      <c r="M28" s="40" t="n">
        <f aca="false">L28*12</f>
        <v>235681.832116245</v>
      </c>
      <c r="N28" s="40" t="n">
        <f aca="false">IFERROR(L28/G28,0)</f>
        <v>62.729071902363</v>
      </c>
      <c r="O28" s="40" t="n">
        <f aca="false">L28*Premissas!$C$30</f>
        <v>1178.40916058123</v>
      </c>
      <c r="P28" s="40" t="n">
        <f aca="false">L28*Premissas!$C$28+AJ28*Premissas!$C$29</f>
        <v>807.734826578343</v>
      </c>
      <c r="Q28" s="40" t="n">
        <f aca="false">G28*Premissas!$C$31</f>
        <v>156.547451450608</v>
      </c>
      <c r="R28" s="40" t="n">
        <f aca="false">L28-O28-P28-Q28</f>
        <v>17497.4612377436</v>
      </c>
      <c r="S28" s="57" t="n">
        <f aca="false">IFERROR(R28/L28,0)</f>
        <v>0.890902506008015</v>
      </c>
      <c r="T28" s="40" t="n">
        <f aca="false">SUMPRODUCT(Premissas!$C$42:$C$61,--(Premissas!$D$42:$D$61&lt;=B28))</f>
        <v>3395</v>
      </c>
      <c r="U28" s="40" t="n">
        <f aca="false">Premissas!$C$34*(1+Premissas!$C$35)^(B28-1)</f>
        <v>2874.15511329117</v>
      </c>
      <c r="V28" s="40" t="n">
        <f aca="false">D28*Premissas!$C$36*Premissas!$C$37</f>
        <v>212.659283572821</v>
      </c>
      <c r="W28" s="40" t="n">
        <f aca="false">O28+P28+Q28+T28+U28+V28</f>
        <v>8624.50583547417</v>
      </c>
      <c r="X28" s="56" t="n">
        <f aca="false">L28-W28</f>
        <v>11015.6468408796</v>
      </c>
      <c r="Y28" s="40" t="n">
        <f aca="false">N(Y27)+X28</f>
        <v>50274.3118469531</v>
      </c>
      <c r="Z28" s="40" t="n">
        <f aca="false">IFERROR((U28+V28)/D28,0)</f>
        <v>87.0918309796801</v>
      </c>
      <c r="AA28" s="54" t="n">
        <f aca="false">IFERROR(T28/(R28/G28),0)</f>
        <v>60.7492241821194</v>
      </c>
      <c r="AB28" s="1"/>
      <c r="AC28" s="58" t="n">
        <f aca="false">D28*(1-Premissas!$F$23)*(1-Premissas!$F$24)</f>
        <v>21.2659283572821</v>
      </c>
      <c r="AD28" s="58" t="n">
        <f aca="false">D28*(1-Premissas!$F$23)*Premissas!$F$24</f>
        <v>5.31648208932052</v>
      </c>
      <c r="AE28" s="58" t="n">
        <f aca="false">D28*Premissas!$F$23*(1-Premissas!$F$24)</f>
        <v>7.08864278576069</v>
      </c>
      <c r="AF28" s="58" t="n">
        <f aca="false">D28*Premissas!$F$23*Premissas!$F$24</f>
        <v>1.77216069644017</v>
      </c>
      <c r="AG28" s="58" t="n">
        <f aca="false">AD28+IF(B28&gt;12,INDEX($AD$6:$AD$29,B28-12)*Premissas!$F$22,0)</f>
        <v>6.85086014800638</v>
      </c>
      <c r="AH28" s="58" t="n">
        <f aca="false">AF28+IF(B28&gt;12,INDEX($AF$6:$AF$29,B28-12)*Premissas!$F$22,0)</f>
        <v>2.28362004933546</v>
      </c>
      <c r="AI28" s="58" t="n">
        <f aca="false">IF(B28&gt;12,(INDEX($AD$6:$AD$29,B28-12)+INDEX($AF$6:$AF$29,B28-12))*(1-Premissas!$F$22),0)</f>
        <v>1.10160476008216</v>
      </c>
      <c r="AJ28" s="58" t="n">
        <f aca="false">H28+J28+AG28+AH28</f>
        <v>245.570373277472</v>
      </c>
      <c r="AK28" s="59" t="n">
        <f aca="false">IF(X28&gt;0,B28,"")</f>
        <v>23</v>
      </c>
      <c r="AL28" s="1"/>
      <c r="AM28" s="1"/>
      <c r="AN28" s="1"/>
      <c r="AO28" s="1"/>
      <c r="AP28" s="1"/>
      <c r="AQ28" s="1"/>
    </row>
    <row r="29" customFormat="false" ht="15" hidden="false" customHeight="false" outlineLevel="0" collapsed="false">
      <c r="A29" s="1"/>
      <c r="B29" s="51" t="n">
        <f aca="false">B28+1</f>
        <v>24</v>
      </c>
      <c r="C29" s="52" t="n">
        <f aca="false">EDATE(Premissas!$C$7,B29-1)</f>
        <v>46997</v>
      </c>
      <c r="D29" s="53" t="n">
        <f aca="false">Premissas!$F$19*(1+Premissas!$F$20)^(B29-1)</f>
        <v>37.9242389038197</v>
      </c>
      <c r="E29" s="54" t="n">
        <f aca="false">IFERROR(D29/Premissas!$F$25,0)</f>
        <v>189.621194519098</v>
      </c>
      <c r="F29" s="53" t="n">
        <f aca="false">(N(H28)+N(J28))*Premissas!$F$21+AI29</f>
        <v>13.0005117472944</v>
      </c>
      <c r="G29" s="55" t="n">
        <f aca="false">H29+I29+J29+K29</f>
        <v>338.018630057741</v>
      </c>
      <c r="H29" s="53" t="n">
        <f aca="false">N(H28)*(1-Premissas!$F$21)+AC29</f>
        <v>191.215117161884</v>
      </c>
      <c r="I29" s="53" t="n">
        <f aca="false">SUM(INDEX($AG$6:$AG$29,MAX(1,B29-11)):INDEX($AG$6:$AG$29,B29))</f>
        <v>62.2988553814216</v>
      </c>
      <c r="J29" s="53" t="n">
        <f aca="false">N(J28)*(1-Premissas!$F$21)+AE29</f>
        <v>63.7383723872948</v>
      </c>
      <c r="K29" s="53" t="n">
        <f aca="false">SUM(INDEX($AH$6:$AH$29,MAX(1,B29-11)):INDEX($AH$6:$AH$29,B29))</f>
        <v>20.7662851271405</v>
      </c>
      <c r="L29" s="56" t="n">
        <f aca="false">H29*Premissas!$C$13+I29*Premissas!$F$13/12+J29*Premissas!$C$14+K29*Premissas!$F$14/12</f>
        <v>21200.2815542535</v>
      </c>
      <c r="M29" s="40" t="n">
        <f aca="false">L29*12</f>
        <v>254403.378651042</v>
      </c>
      <c r="N29" s="40" t="n">
        <f aca="false">IFERROR(L29/G29,0)</f>
        <v>62.7192694989386</v>
      </c>
      <c r="O29" s="40" t="n">
        <f aca="false">L29*Premissas!$C$30</f>
        <v>1272.01689325521</v>
      </c>
      <c r="P29" s="40" t="n">
        <f aca="false">L29*Premissas!$C$28+AJ29*Premissas!$C$29</f>
        <v>871.726272245437</v>
      </c>
      <c r="Q29" s="40" t="n">
        <f aca="false">G29*Premissas!$C$31</f>
        <v>169.009315028871</v>
      </c>
      <c r="R29" s="40" t="n">
        <f aca="false">L29-O29-P29-Q29</f>
        <v>18887.529073724</v>
      </c>
      <c r="S29" s="57" t="n">
        <f aca="false">IFERROR(R29/L29,0)</f>
        <v>0.890909350679567</v>
      </c>
      <c r="T29" s="40" t="n">
        <f aca="false">SUMPRODUCT(Premissas!$C$42:$C$61,--(Premissas!$D$42:$D$61&lt;=B29))</f>
        <v>3395</v>
      </c>
      <c r="U29" s="40" t="n">
        <f aca="false">Premissas!$C$34*(1+Premissas!$C$35)^(B29-1)</f>
        <v>2960.37976668991</v>
      </c>
      <c r="V29" s="40" t="n">
        <f aca="false">D29*Premissas!$C$36*Premissas!$C$37</f>
        <v>227.545433422918</v>
      </c>
      <c r="W29" s="40" t="n">
        <f aca="false">O29+P29+Q29+T29+U29+V29</f>
        <v>8895.67768064234</v>
      </c>
      <c r="X29" s="56" t="n">
        <f aca="false">L29-W29</f>
        <v>12304.6038736112</v>
      </c>
      <c r="Y29" s="40" t="n">
        <f aca="false">N(Y28)+X29</f>
        <v>62578.9157205643</v>
      </c>
      <c r="Z29" s="40" t="n">
        <f aca="false">IFERROR((U29+V29)/D29,0)</f>
        <v>84.0603606626827</v>
      </c>
      <c r="AA29" s="54" t="n">
        <f aca="false">IFERROR(T29/(R29/G29),0)</f>
        <v>60.7582518902653</v>
      </c>
      <c r="AB29" s="1"/>
      <c r="AC29" s="58" t="n">
        <f aca="false">D29*(1-Premissas!$F$23)*(1-Premissas!$F$24)</f>
        <v>22.7545433422918</v>
      </c>
      <c r="AD29" s="58" t="n">
        <f aca="false">D29*(1-Premissas!$F$23)*Premissas!$F$24</f>
        <v>5.68863583557296</v>
      </c>
      <c r="AE29" s="58" t="n">
        <f aca="false">D29*Premissas!$F$23*(1-Premissas!$F$24)</f>
        <v>7.58484778076394</v>
      </c>
      <c r="AF29" s="58" t="n">
        <f aca="false">D29*Premissas!$F$23*Premissas!$F$24</f>
        <v>1.89621194519099</v>
      </c>
      <c r="AG29" s="58" t="n">
        <f aca="false">AD29+IF(B29&gt;12,INDEX($AD$6:$AD$29,B29-12)*Premissas!$F$22,0)</f>
        <v>7.33042035836683</v>
      </c>
      <c r="AH29" s="58" t="n">
        <f aca="false">AF29+IF(B29&gt;12,INDEX($AF$6:$AF$29,B29-12)*Premissas!$F$22,0)</f>
        <v>2.44347345278894</v>
      </c>
      <c r="AI29" s="58" t="n">
        <f aca="false">IF(B29&gt;12,(INDEX($AD$6:$AD$29,B29-12)+INDEX($AF$6:$AF$29,B29-12))*(1-Premissas!$F$22),0)</f>
        <v>1.17871709328791</v>
      </c>
      <c r="AJ29" s="58" t="n">
        <f aca="false">H29+J29+AG29+AH29</f>
        <v>264.727383360335</v>
      </c>
      <c r="AK29" s="59" t="n">
        <f aca="false">IF(X29&gt;0,B29,"")</f>
        <v>24</v>
      </c>
      <c r="AL29" s="1"/>
      <c r="AM29" s="1"/>
      <c r="AN29" s="1"/>
      <c r="AO29" s="1"/>
      <c r="AP29" s="1"/>
      <c r="AQ29" s="1"/>
    </row>
    <row r="30" customFormat="false" ht="15" hidden="false" customHeight="false" outlineLevel="0" collapsed="false">
      <c r="A30" s="1"/>
      <c r="B30" s="46" t="s">
        <v>184</v>
      </c>
      <c r="C30" s="46"/>
      <c r="D30" s="60" t="n">
        <f aca="false">SUM(D6:D29)</f>
        <v>465.413366101244</v>
      </c>
      <c r="E30" s="61" t="n">
        <f aca="false">SUM(E6:E29)</f>
        <v>2327.06683050622</v>
      </c>
      <c r="F30" s="60" t="n">
        <f aca="false">SUM(F6:F29)</f>
        <v>127.394736043502</v>
      </c>
      <c r="G30" s="62"/>
      <c r="H30" s="62"/>
      <c r="I30" s="62"/>
      <c r="J30" s="62"/>
      <c r="K30" s="62"/>
      <c r="L30" s="47" t="n">
        <f aca="false">SUM(L6:L29)</f>
        <v>214730.2426228</v>
      </c>
      <c r="M30" s="62"/>
      <c r="N30" s="62"/>
      <c r="O30" s="47" t="n">
        <f aca="false">SUM(O6:O29)</f>
        <v>12883.814557368</v>
      </c>
      <c r="P30" s="47" t="n">
        <f aca="false">SUM(P6:P29)</f>
        <v>8845.50875897443</v>
      </c>
      <c r="Q30" s="47" t="n">
        <f aca="false">SUM(Q6:Q29)</f>
        <v>1709.81806626533</v>
      </c>
      <c r="R30" s="47" t="n">
        <f aca="false">SUM(R6:R29)</f>
        <v>191291.101240192</v>
      </c>
      <c r="S30" s="62"/>
      <c r="T30" s="47" t="n">
        <f aca="false">SUM(T6:T29)</f>
        <v>74280</v>
      </c>
      <c r="U30" s="47" t="n">
        <f aca="false">SUM(U6:U29)</f>
        <v>51639.7053230202</v>
      </c>
      <c r="V30" s="47" t="n">
        <f aca="false">SUM(V6:V29)</f>
        <v>2792.48019660746</v>
      </c>
      <c r="W30" s="47" t="n">
        <f aca="false">SUM(W6:W29)</f>
        <v>152151.326902235</v>
      </c>
      <c r="X30" s="47" t="n">
        <f aca="false">SUM(X6:X29)</f>
        <v>62578.9157205642</v>
      </c>
      <c r="Y30" s="62"/>
      <c r="Z30" s="62"/>
      <c r="AA30" s="62"/>
      <c r="AB30" s="1"/>
      <c r="AC30" s="60" t="n">
        <f aca="false">SUM(AC6:AC29)</f>
        <v>279.248019660746</v>
      </c>
      <c r="AD30" s="60" t="n">
        <f aca="false">SUM(AD6:AD29)</f>
        <v>69.8120049151866</v>
      </c>
      <c r="AE30" s="60" t="n">
        <f aca="false">SUM(AE6:AE29)</f>
        <v>93.0826732202487</v>
      </c>
      <c r="AF30" s="60" t="n">
        <f aca="false">SUM(AF6:AF29)</f>
        <v>23.2706683050622</v>
      </c>
      <c r="AG30" s="60" t="n">
        <f aca="false">SUM(AG6:AG29)</f>
        <v>83.7649969064643</v>
      </c>
      <c r="AH30" s="60" t="n">
        <f aca="false">SUM(AH6:AH29)</f>
        <v>27.9216656354881</v>
      </c>
      <c r="AI30" s="60" t="n">
        <f aca="false">SUM(AI6:AI29)</f>
        <v>10.0175327116866</v>
      </c>
      <c r="AJ30" s="60" t="n">
        <f aca="false">SUM(AJ6:AJ29)</f>
        <v>2714.18421872744</v>
      </c>
      <c r="AK30" s="62"/>
      <c r="AL30" s="1"/>
      <c r="AM30" s="1"/>
      <c r="AN30" s="1"/>
      <c r="AO30" s="1"/>
      <c r="AP30" s="1"/>
      <c r="AQ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</sheetData>
  <mergeCells count="5">
    <mergeCell ref="B2:AK2"/>
    <mergeCell ref="B4:K4"/>
    <mergeCell ref="L4:AA4"/>
    <mergeCell ref="AC4:AK4"/>
    <mergeCell ref="B30:C30"/>
  </mergeCells>
  <conditionalFormatting sqref="X6:X30">
    <cfRule type="expression" priority="2" aboveAverage="0" equalAverage="0" bottom="0" percent="0" rank="0" text="" dxfId="0">
      <formula>X6&lt;0</formula>
    </cfRule>
  </conditionalFormatting>
  <conditionalFormatting sqref="Y6:Y30">
    <cfRule type="expression" priority="3" aboveAverage="0" equalAverage="0" bottom="0" percent="0" rank="0" text="" dxfId="0">
      <formula>Y6&lt;0</formula>
    </cfRule>
  </conditionalFormatting>
  <conditionalFormatting sqref="R6:R30">
    <cfRule type="expression" priority="4" aboveAverage="0" equalAverage="0" bottom="0" percent="0" rank="0" text="" dxfId="0">
      <formula>R6&lt;0</formula>
    </cfRule>
  </conditionalFormatting>
  <hyperlinks>
    <hyperlink ref="B1" r:id="rId1" location="'Comece%20Aqui'!A1" display="⌂  Início"/>
    <hyperlink ref="C1" r:id="rId2" location="'Dashboard'!A1" display="▦ 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5C66"/>
    <pageSetUpPr fitToPage="true"/>
  </sheetPr>
  <dimension ref="A1:V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16" min="4" style="0" width="15"/>
  </cols>
  <sheetData>
    <row r="1" customFormat="false" ht="24" hidden="false" customHeight="true" outlineLevel="0" collapsed="false">
      <c r="A1" s="1"/>
      <c r="B1" s="6" t="s">
        <v>26</v>
      </c>
      <c r="C1" s="6" t="s">
        <v>56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42" hidden="false" customHeight="true" outlineLevel="0" collapsed="false">
      <c r="A2" s="1"/>
      <c r="B2" s="2" t="str">
        <f aca="false">"FLUXO DE CAIXA  ·  CENÁRIO "&amp;UPPER(Premissas!$C$9)</f>
        <v>FLUXO DE CAIXA  ·  CENÁRIO REALISTA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1"/>
      <c r="B3" s="10" t="s">
        <v>185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5" hidden="false" customHeight="false" outlineLevel="0" collapsed="false">
      <c r="A4" s="1"/>
      <c r="B4" s="1"/>
      <c r="C4" s="1"/>
      <c r="D4" s="48" t="s">
        <v>186</v>
      </c>
      <c r="E4" s="48"/>
      <c r="F4" s="48"/>
      <c r="G4" s="48" t="s">
        <v>187</v>
      </c>
      <c r="H4" s="48"/>
      <c r="I4" s="48"/>
      <c r="J4" s="48"/>
      <c r="K4" s="48"/>
      <c r="L4" s="48"/>
      <c r="M4" s="48" t="s">
        <v>188</v>
      </c>
      <c r="N4" s="48"/>
      <c r="O4" s="48" t="s">
        <v>189</v>
      </c>
      <c r="P4" s="48"/>
      <c r="Q4" s="1"/>
      <c r="R4" s="1"/>
      <c r="S4" s="1"/>
      <c r="T4" s="1"/>
      <c r="U4" s="1"/>
      <c r="V4" s="1"/>
    </row>
    <row r="5" customFormat="false" ht="42" hidden="false" customHeight="true" outlineLevel="0" collapsed="false">
      <c r="A5" s="1"/>
      <c r="B5" s="37" t="s">
        <v>153</v>
      </c>
      <c r="C5" s="37" t="s">
        <v>154</v>
      </c>
      <c r="D5" s="37" t="s">
        <v>190</v>
      </c>
      <c r="E5" s="37" t="s">
        <v>191</v>
      </c>
      <c r="F5" s="37" t="s">
        <v>192</v>
      </c>
      <c r="G5" s="37" t="s">
        <v>193</v>
      </c>
      <c r="H5" s="37" t="s">
        <v>194</v>
      </c>
      <c r="I5" s="37" t="s">
        <v>195</v>
      </c>
      <c r="J5" s="37" t="s">
        <v>196</v>
      </c>
      <c r="K5" s="37" t="s">
        <v>197</v>
      </c>
      <c r="L5" s="37" t="s">
        <v>198</v>
      </c>
      <c r="M5" s="37" t="s">
        <v>199</v>
      </c>
      <c r="N5" s="37" t="s">
        <v>200</v>
      </c>
      <c r="O5" s="37" t="s">
        <v>201</v>
      </c>
      <c r="P5" s="37" t="s">
        <v>202</v>
      </c>
      <c r="Q5" s="1"/>
      <c r="R5" s="1"/>
      <c r="S5" s="1"/>
      <c r="T5" s="1"/>
      <c r="U5" s="1"/>
      <c r="V5" s="1"/>
    </row>
    <row r="6" customFormat="false" ht="15" hidden="false" customHeight="false" outlineLevel="0" collapsed="false">
      <c r="A6" s="1"/>
      <c r="B6" s="51" t="n">
        <f aca="false">'Projeção 24 meses'!B6</f>
        <v>1</v>
      </c>
      <c r="C6" s="52" t="n">
        <f aca="false">'Projeção 24 meses'!C6</f>
        <v>46296</v>
      </c>
      <c r="D6" s="40" t="n">
        <f aca="false">'Projeção 24 meses'!H6*Premissas!$C$13+'Projeção 24 meses'!J6*Premissas!$C$14</f>
        <v>418.56</v>
      </c>
      <c r="E6" s="40" t="n">
        <f aca="false">'Projeção 24 meses'!AG6*Premissas!$F$13+'Projeção 24 meses'!AH6*Premissas!$F$14</f>
        <v>1046.232</v>
      </c>
      <c r="F6" s="40" t="n">
        <f aca="false">D6+E6</f>
        <v>1464.792</v>
      </c>
      <c r="G6" s="40" t="n">
        <f aca="false">F6*Premissas!$C$30</f>
        <v>87.88752</v>
      </c>
      <c r="H6" s="40" t="n">
        <f aca="false">F6*Premissas!$C$28+'Projeção 24 meses'!AJ6*Premissas!$C$29</f>
        <v>55.18772</v>
      </c>
      <c r="I6" s="40" t="n">
        <f aca="false">'Projeção 24 meses'!Q6</f>
        <v>4</v>
      </c>
      <c r="J6" s="40" t="n">
        <f aca="false">'Projeção 24 meses'!T6</f>
        <v>2195</v>
      </c>
      <c r="K6" s="40" t="n">
        <f aca="false">'Projeção 24 meses'!U6+'Projeção 24 meses'!V6</f>
        <v>1548</v>
      </c>
      <c r="L6" s="40" t="n">
        <f aca="false">G6+H6+I6+J6+K6</f>
        <v>3890.07524</v>
      </c>
      <c r="M6" s="56" t="n">
        <f aca="false">F6-L6</f>
        <v>-2425.28324</v>
      </c>
      <c r="N6" s="56" t="n">
        <f aca="false">IF('Projeção 24 meses'!B6=1,Premissas!$C$8,N(N5))+M6</f>
        <v>-2425.28324</v>
      </c>
      <c r="O6" s="40" t="n">
        <f aca="false">'Projeção 24 meses'!I6*Premissas!$F$13/12+'Projeção 24 meses'!K6*Premissas!$F$14/12</f>
        <v>87.186</v>
      </c>
      <c r="P6" s="40" t="n">
        <f aca="false">N(P5)+E6-O6</f>
        <v>959.046</v>
      </c>
      <c r="Q6" s="1"/>
      <c r="R6" s="1"/>
      <c r="S6" s="1"/>
      <c r="T6" s="1"/>
      <c r="U6" s="1"/>
      <c r="V6" s="1"/>
    </row>
    <row r="7" customFormat="false" ht="15" hidden="false" customHeight="false" outlineLevel="0" collapsed="false">
      <c r="A7" s="1"/>
      <c r="B7" s="51" t="n">
        <f aca="false">'Projeção 24 meses'!B7</f>
        <v>2</v>
      </c>
      <c r="C7" s="52" t="n">
        <f aca="false">'Projeção 24 meses'!C7</f>
        <v>46327</v>
      </c>
      <c r="D7" s="40" t="n">
        <f aca="false">'Projeção 24 meses'!H7*Premissas!$C$13+'Projeção 24 meses'!J7*Premissas!$C$14</f>
        <v>845.4912</v>
      </c>
      <c r="E7" s="40" t="n">
        <f aca="false">'Projeção 24 meses'!AG7*Premissas!$F$13+'Projeção 24 meses'!AH7*Premissas!$F$14</f>
        <v>1119.46824</v>
      </c>
      <c r="F7" s="40" t="n">
        <f aca="false">D7+E7</f>
        <v>1964.95944</v>
      </c>
      <c r="G7" s="40" t="n">
        <f aca="false">F7*Premissas!$C$30</f>
        <v>117.8975664</v>
      </c>
      <c r="H7" s="40" t="n">
        <f aca="false">F7*Premissas!$C$28+'Projeção 24 meses'!AJ7*Premissas!$C$29</f>
        <v>75.9471804</v>
      </c>
      <c r="I7" s="40" t="n">
        <f aca="false">'Projeção 24 meses'!Q7</f>
        <v>8.12</v>
      </c>
      <c r="J7" s="40" t="n">
        <f aca="false">'Projeção 24 meses'!T7</f>
        <v>2195</v>
      </c>
      <c r="K7" s="40" t="n">
        <f aca="false">'Projeção 24 meses'!U7+'Projeção 24 meses'!V7</f>
        <v>1596.36</v>
      </c>
      <c r="L7" s="40" t="n">
        <f aca="false">G7+H7+I7+J7+K7</f>
        <v>3993.3247468</v>
      </c>
      <c r="M7" s="56" t="n">
        <f aca="false">F7-L7</f>
        <v>-2028.3653068</v>
      </c>
      <c r="N7" s="56" t="n">
        <f aca="false">IF('Projeção 24 meses'!B7=1,Premissas!$C$8,N(N6))+M7</f>
        <v>-4453.6485468</v>
      </c>
      <c r="O7" s="40" t="n">
        <f aca="false">'Projeção 24 meses'!I7*Premissas!$F$13/12+'Projeção 24 meses'!K7*Premissas!$F$14/12</f>
        <v>180.47502</v>
      </c>
      <c r="P7" s="40" t="n">
        <f aca="false">N(P6)+E7-O7</f>
        <v>1898.03922</v>
      </c>
      <c r="Q7" s="1"/>
      <c r="R7" s="1"/>
      <c r="S7" s="1"/>
      <c r="T7" s="1"/>
      <c r="U7" s="1"/>
      <c r="V7" s="1"/>
    </row>
    <row r="8" customFormat="false" ht="15" hidden="false" customHeight="false" outlineLevel="0" collapsed="false">
      <c r="A8" s="1"/>
      <c r="B8" s="51" t="n">
        <f aca="false">'Projeção 24 meses'!B8</f>
        <v>3</v>
      </c>
      <c r="C8" s="52" t="n">
        <f aca="false">'Projeção 24 meses'!C8</f>
        <v>46357</v>
      </c>
      <c r="D8" s="40" t="n">
        <f aca="false">'Projeção 24 meses'!H8*Premissas!$C$13+'Projeção 24 meses'!J8*Premissas!$C$14</f>
        <v>1282.425984</v>
      </c>
      <c r="E8" s="40" t="n">
        <f aca="false">'Projeção 24 meses'!AG8*Premissas!$F$13+'Projeção 24 meses'!AH8*Premissas!$F$14</f>
        <v>1197.8310168</v>
      </c>
      <c r="F8" s="40" t="n">
        <f aca="false">D8+E8</f>
        <v>2480.2570008</v>
      </c>
      <c r="G8" s="40" t="n">
        <f aca="false">F8*Premissas!$C$30</f>
        <v>148.815420048</v>
      </c>
      <c r="H8" s="40" t="n">
        <f aca="false">F8*Premissas!$C$28+'Projeção 24 meses'!AJ8*Premissas!$C$29</f>
        <v>97.314987028</v>
      </c>
      <c r="I8" s="40" t="n">
        <f aca="false">'Projeção 24 meses'!Q8</f>
        <v>12.3764</v>
      </c>
      <c r="J8" s="40" t="n">
        <f aca="false">'Projeção 24 meses'!T8</f>
        <v>2195</v>
      </c>
      <c r="K8" s="40" t="n">
        <f aca="false">'Projeção 24 meses'!U8+'Projeção 24 meses'!V8</f>
        <v>1646.3052</v>
      </c>
      <c r="L8" s="40" t="n">
        <f aca="false">G8+H8+I8+J8+K8</f>
        <v>4099.812007076</v>
      </c>
      <c r="M8" s="56" t="n">
        <f aca="false">F8-L8</f>
        <v>-1619.555006276</v>
      </c>
      <c r="N8" s="56" t="n">
        <f aca="false">IF('Projeção 24 meses'!B8=1,Premissas!$C$8,N(N7))+M8</f>
        <v>-6073.203553076</v>
      </c>
      <c r="O8" s="40" t="n">
        <f aca="false">'Projeção 24 meses'!I8*Premissas!$F$13/12+'Projeção 24 meses'!K8*Premissas!$F$14/12</f>
        <v>280.2942714</v>
      </c>
      <c r="P8" s="40" t="n">
        <f aca="false">N(P7)+E8-O8</f>
        <v>2815.5759654</v>
      </c>
      <c r="Q8" s="1"/>
      <c r="R8" s="1"/>
      <c r="S8" s="1"/>
      <c r="T8" s="1"/>
      <c r="U8" s="1"/>
      <c r="V8" s="1"/>
    </row>
    <row r="9" customFormat="false" ht="15" hidden="false" customHeight="false" outlineLevel="0" collapsed="false">
      <c r="A9" s="1"/>
      <c r="B9" s="51" t="n">
        <f aca="false">'Projeção 24 meses'!B9</f>
        <v>4</v>
      </c>
      <c r="C9" s="52" t="n">
        <f aca="false">'Projeção 24 meses'!C9</f>
        <v>46388</v>
      </c>
      <c r="D9" s="40" t="n">
        <f aca="false">'Projeção 24 meses'!H9*Premissas!$C$13+'Projeção 24 meses'!J9*Premissas!$C$14</f>
        <v>1731.05868288</v>
      </c>
      <c r="E9" s="40" t="n">
        <f aca="false">'Projeção 24 meses'!AG9*Premissas!$F$13+'Projeção 24 meses'!AH9*Premissas!$F$14</f>
        <v>1281.679187976</v>
      </c>
      <c r="F9" s="40" t="n">
        <f aca="false">D9+E9</f>
        <v>3012.737870856</v>
      </c>
      <c r="G9" s="40" t="n">
        <f aca="false">F9*Premissas!$C$30</f>
        <v>180.76427225136</v>
      </c>
      <c r="H9" s="40" t="n">
        <f aca="false">F9*Premissas!$C$28+'Projeção 24 meses'!AJ9*Premissas!$C$29</f>
        <v>119.37596491996</v>
      </c>
      <c r="I9" s="40" t="n">
        <f aca="false">'Projeção 24 meses'!Q9</f>
        <v>16.786348</v>
      </c>
      <c r="J9" s="40" t="n">
        <f aca="false">'Projeção 24 meses'!T9</f>
        <v>2195</v>
      </c>
      <c r="K9" s="40" t="n">
        <f aca="false">'Projeção 24 meses'!U9+'Projeção 24 meses'!V9</f>
        <v>1697.892564</v>
      </c>
      <c r="L9" s="40" t="n">
        <f aca="false">G9+H9+I9+J9+K9</f>
        <v>4209.81914917132</v>
      </c>
      <c r="M9" s="56" t="n">
        <f aca="false">F9-L9</f>
        <v>-1197.08127831532</v>
      </c>
      <c r="N9" s="56" t="n">
        <f aca="false">IF('Projeção 24 meses'!B9=1,Premissas!$C$8,N(N8))+M9</f>
        <v>-7270.28483139132</v>
      </c>
      <c r="O9" s="40" t="n">
        <f aca="false">'Projeção 24 meses'!I9*Premissas!$F$13/12+'Projeção 24 meses'!K9*Premissas!$F$14/12</f>
        <v>387.100870398</v>
      </c>
      <c r="P9" s="40" t="n">
        <f aca="false">N(P8)+E9-O9</f>
        <v>3710.154282978</v>
      </c>
      <c r="Q9" s="1"/>
      <c r="R9" s="1"/>
      <c r="S9" s="1"/>
      <c r="T9" s="1"/>
      <c r="U9" s="1"/>
      <c r="V9" s="1"/>
    </row>
    <row r="10" customFormat="false" ht="15" hidden="false" customHeight="false" outlineLevel="0" collapsed="false">
      <c r="A10" s="1"/>
      <c r="B10" s="51" t="n">
        <f aca="false">'Projeção 24 meses'!B10</f>
        <v>5</v>
      </c>
      <c r="C10" s="52" t="n">
        <f aca="false">'Projeção 24 meses'!C10</f>
        <v>46419</v>
      </c>
      <c r="D10" s="40" t="n">
        <f aca="false">'Projeção 24 meses'!H10*Premissas!$C$13+'Projeção 24 meses'!J10*Premissas!$C$14</f>
        <v>2193.1525266816</v>
      </c>
      <c r="E10" s="40" t="n">
        <f aca="false">'Projeção 24 meses'!AG10*Premissas!$F$13+'Projeção 24 meses'!AH10*Premissas!$F$14</f>
        <v>1371.39673113432</v>
      </c>
      <c r="F10" s="40" t="n">
        <f aca="false">D10+E10</f>
        <v>3564.54925781592</v>
      </c>
      <c r="G10" s="40" t="n">
        <f aca="false">F10*Premissas!$C$30</f>
        <v>213.872955468955</v>
      </c>
      <c r="H10" s="40" t="n">
        <f aca="false">F10*Premissas!$C$28+'Projeção 24 meses'!AJ10*Premissas!$C$29</f>
        <v>142.218764824357</v>
      </c>
      <c r="I10" s="40" t="n">
        <f aca="false">'Projeção 24 meses'!Q10</f>
        <v>21.36781236</v>
      </c>
      <c r="J10" s="40" t="n">
        <f aca="false">'Projeção 24 meses'!T10</f>
        <v>2195</v>
      </c>
      <c r="K10" s="40" t="n">
        <f aca="false">'Projeção 24 meses'!U10+'Projeção 24 meses'!V10</f>
        <v>1751.18142348</v>
      </c>
      <c r="L10" s="40" t="n">
        <f aca="false">G10+H10+I10+J10+K10</f>
        <v>4323.64095613331</v>
      </c>
      <c r="M10" s="56" t="n">
        <f aca="false">F10-L10</f>
        <v>-759.091698317393</v>
      </c>
      <c r="N10" s="56" t="n">
        <f aca="false">IF('Projeção 24 meses'!B10=1,Premissas!$C$8,N(N9))+M10</f>
        <v>-8029.37652970871</v>
      </c>
      <c r="O10" s="40" t="n">
        <f aca="false">'Projeção 24 meses'!I10*Premissas!$F$13/12+'Projeção 24 meses'!K10*Premissas!$F$14/12</f>
        <v>501.38393132586</v>
      </c>
      <c r="P10" s="40" t="n">
        <f aca="false">N(P9)+E10-O10</f>
        <v>4580.16708278646</v>
      </c>
      <c r="Q10" s="1"/>
      <c r="R10" s="1"/>
      <c r="S10" s="1"/>
      <c r="T10" s="1"/>
      <c r="U10" s="1"/>
      <c r="V10" s="1"/>
    </row>
    <row r="11" customFormat="false" ht="15" hidden="false" customHeight="false" outlineLevel="0" collapsed="false">
      <c r="A11" s="1"/>
      <c r="B11" s="51" t="n">
        <f aca="false">'Projeção 24 meses'!B11</f>
        <v>6</v>
      </c>
      <c r="C11" s="52" t="n">
        <f aca="false">'Projeção 24 meses'!C11</f>
        <v>46447</v>
      </c>
      <c r="D11" s="40" t="n">
        <f aca="false">'Projeção 24 meses'!H11*Premissas!$C$13+'Projeção 24 meses'!J11*Premissas!$C$14</f>
        <v>2670.54695274931</v>
      </c>
      <c r="E11" s="40" t="n">
        <f aca="false">'Projeção 24 meses'!AG11*Premissas!$F$13+'Projeção 24 meses'!AH11*Premissas!$F$14</f>
        <v>1467.39450231372</v>
      </c>
      <c r="F11" s="40" t="n">
        <f aca="false">D11+E11</f>
        <v>4137.94145506304</v>
      </c>
      <c r="G11" s="40" t="n">
        <f aca="false">F11*Premissas!$C$30</f>
        <v>248.276487303782</v>
      </c>
      <c r="H11" s="40" t="n">
        <f aca="false">F11*Premissas!$C$28+'Projeção 24 meses'!AJ11*Premissas!$C$29</f>
        <v>165.936236604062</v>
      </c>
      <c r="I11" s="40" t="n">
        <f aca="false">'Projeção 24 meses'!Q11</f>
        <v>26.1396582252</v>
      </c>
      <c r="J11" s="40" t="n">
        <f aca="false">'Projeção 24 meses'!T11</f>
        <v>2195</v>
      </c>
      <c r="K11" s="40" t="n">
        <f aca="false">'Projeção 24 meses'!U11+'Projeção 24 meses'!V11</f>
        <v>1806.2335945236</v>
      </c>
      <c r="L11" s="40" t="n">
        <f aca="false">G11+H11+I11+J11+K11</f>
        <v>4441.58597665665</v>
      </c>
      <c r="M11" s="56" t="n">
        <f aca="false">F11-L11</f>
        <v>-303.644521593609</v>
      </c>
      <c r="N11" s="56" t="n">
        <f aca="false">IF('Projeção 24 meses'!B11=1,Premissas!$C$8,N(N10))+M11</f>
        <v>-8333.02105130232</v>
      </c>
      <c r="O11" s="40" t="n">
        <f aca="false">'Projeção 24 meses'!I11*Premissas!$F$13/12+'Projeção 24 meses'!K11*Premissas!$F$14/12</f>
        <v>623.66680651867</v>
      </c>
      <c r="P11" s="40" t="n">
        <f aca="false">N(P10)+E11-O11</f>
        <v>5423.89477858151</v>
      </c>
      <c r="Q11" s="1"/>
      <c r="R11" s="1"/>
      <c r="S11" s="1"/>
      <c r="T11" s="1"/>
      <c r="U11" s="1"/>
      <c r="V11" s="1"/>
    </row>
    <row r="12" customFormat="false" ht="15" hidden="false" customHeight="false" outlineLevel="0" collapsed="false">
      <c r="A12" s="1"/>
      <c r="B12" s="51" t="n">
        <f aca="false">'Projeção 24 meses'!B12</f>
        <v>7</v>
      </c>
      <c r="C12" s="52" t="n">
        <f aca="false">'Projeção 24 meses'!C12</f>
        <v>46478</v>
      </c>
      <c r="D12" s="40" t="n">
        <f aca="false">'Projeção 24 meses'!H12*Premissas!$C$13+'Projeção 24 meses'!J12*Premissas!$C$14</f>
        <v>3165.16530118176</v>
      </c>
      <c r="E12" s="40" t="n">
        <f aca="false">'Projeção 24 meses'!AG12*Premissas!$F$13+'Projeção 24 meses'!AH12*Premissas!$F$14</f>
        <v>1570.11211747568</v>
      </c>
      <c r="F12" s="40" t="n">
        <f aca="false">D12+E12</f>
        <v>4735.27741865745</v>
      </c>
      <c r="G12" s="40" t="n">
        <f aca="false">F12*Premissas!$C$30</f>
        <v>284.116645119447</v>
      </c>
      <c r="H12" s="40" t="n">
        <f aca="false">F12*Premissas!$C$28+'Projeção 24 meses'!AJ12*Premissas!$C$29</f>
        <v>190.625823496247</v>
      </c>
      <c r="I12" s="40" t="n">
        <f aca="false">'Projeção 24 meses'!Q12</f>
        <v>31.121728350964</v>
      </c>
      <c r="J12" s="40" t="n">
        <f aca="false">'Projeção 24 meses'!T12</f>
        <v>3395</v>
      </c>
      <c r="K12" s="40" t="n">
        <f aca="false">'Projeção 24 meses'!U12+'Projeção 24 meses'!V12</f>
        <v>1863.11350168225</v>
      </c>
      <c r="L12" s="40" t="n">
        <f aca="false">G12+H12+I12+J12+K12</f>
        <v>5763.97769864891</v>
      </c>
      <c r="M12" s="56" t="n">
        <f aca="false">F12-L12</f>
        <v>-1028.70027999146</v>
      </c>
      <c r="N12" s="56" t="n">
        <f aca="false">IF('Projeção 24 meses'!B12=1,Premissas!$C$8,N(N11))+M12</f>
        <v>-9361.72133129378</v>
      </c>
      <c r="O12" s="40" t="n">
        <f aca="false">'Projeção 24 meses'!I12*Premissas!$F$13/12+'Projeção 24 meses'!K12*Premissas!$F$14/12</f>
        <v>754.509482974977</v>
      </c>
      <c r="P12" s="40" t="n">
        <f aca="false">N(P11)+E12-O12</f>
        <v>6239.49741308222</v>
      </c>
      <c r="Q12" s="1"/>
      <c r="R12" s="1"/>
      <c r="S12" s="1"/>
      <c r="T12" s="1"/>
      <c r="U12" s="1"/>
      <c r="V12" s="1"/>
    </row>
    <row r="13" customFormat="false" ht="15" hidden="false" customHeight="false" outlineLevel="0" collapsed="false">
      <c r="A13" s="1"/>
      <c r="B13" s="51" t="n">
        <f aca="false">'Projeção 24 meses'!B13</f>
        <v>8</v>
      </c>
      <c r="C13" s="52" t="n">
        <f aca="false">'Projeção 24 meses'!C13</f>
        <v>46508</v>
      </c>
      <c r="D13" s="40" t="n">
        <f aca="false">'Projeção 24 meses'!H13*Premissas!$C$13+'Projeção 24 meses'!J13*Premissas!$C$14</f>
        <v>3679.02293091749</v>
      </c>
      <c r="E13" s="40" t="n">
        <f aca="false">'Projeção 24 meses'!AG13*Premissas!$F$13+'Projeção 24 meses'!AH13*Premissas!$F$14</f>
        <v>1680.01996569898</v>
      </c>
      <c r="F13" s="40" t="n">
        <f aca="false">D13+E13</f>
        <v>5359.04289661647</v>
      </c>
      <c r="G13" s="40" t="n">
        <f aca="false">F13*Premissas!$C$30</f>
        <v>321.542573796988</v>
      </c>
      <c r="H13" s="40" t="n">
        <f aca="false">F13*Premissas!$C$28+'Projeção 24 meses'!AJ13*Premissas!$C$29</f>
        <v>216.389978954389</v>
      </c>
      <c r="I13" s="40" t="n">
        <f aca="false">'Projeção 24 meses'!Q13</f>
        <v>36.3349286830315</v>
      </c>
      <c r="J13" s="40" t="n">
        <f aca="false">'Projeção 24 meses'!T13</f>
        <v>3395</v>
      </c>
      <c r="K13" s="40" t="n">
        <f aca="false">'Projeção 24 meses'!U13+'Projeção 24 meses'!V13</f>
        <v>1921.88830900827</v>
      </c>
      <c r="L13" s="40" t="n">
        <f aca="false">G13+H13+I13+J13+K13</f>
        <v>5891.15579044268</v>
      </c>
      <c r="M13" s="56" t="n">
        <f aca="false">F13-L13</f>
        <v>-532.11289382621</v>
      </c>
      <c r="N13" s="56" t="n">
        <f aca="false">IF('Projeção 24 meses'!B13=1,Premissas!$C$8,N(N12))+M13</f>
        <v>-9893.83422511999</v>
      </c>
      <c r="O13" s="40" t="n">
        <f aca="false">'Projeção 24 meses'!I13*Premissas!$F$13/12+'Projeção 24 meses'!K13*Premissas!$F$14/12</f>
        <v>894.511146783226</v>
      </c>
      <c r="P13" s="40" t="n">
        <f aca="false">N(P12)+E13-O13</f>
        <v>7025.00623199798</v>
      </c>
      <c r="Q13" s="1"/>
      <c r="R13" s="1"/>
      <c r="S13" s="1"/>
      <c r="T13" s="1"/>
      <c r="U13" s="1"/>
      <c r="V13" s="1"/>
    </row>
    <row r="14" customFormat="false" ht="15" hidden="false" customHeight="false" outlineLevel="0" collapsed="false">
      <c r="A14" s="1"/>
      <c r="B14" s="51" t="n">
        <f aca="false">'Projeção 24 meses'!B14</f>
        <v>9</v>
      </c>
      <c r="C14" s="52" t="n">
        <f aca="false">'Projeção 24 meses'!C14</f>
        <v>46539</v>
      </c>
      <c r="D14" s="40" t="n">
        <f aca="false">'Projeção 24 meses'!H14*Premissas!$C$13+'Projeção 24 meses'!J14*Premissas!$C$14</f>
        <v>4214.23579180206</v>
      </c>
      <c r="E14" s="40" t="n">
        <f aca="false">'Projeção 24 meses'!AG14*Premissas!$F$13+'Projeção 24 meses'!AH14*Premissas!$F$14</f>
        <v>1797.62136329791</v>
      </c>
      <c r="F14" s="40" t="n">
        <f aca="false">D14+E14</f>
        <v>6011.85715509997</v>
      </c>
      <c r="G14" s="40" t="n">
        <f aca="false">F14*Premissas!$C$30</f>
        <v>360.711429305998</v>
      </c>
      <c r="H14" s="40" t="n">
        <f aca="false">F14*Premissas!$C$28+'Projeção 24 meses'!AJ14*Premissas!$C$29</f>
        <v>243.336607903931</v>
      </c>
      <c r="I14" s="40" t="n">
        <f aca="false">'Projeção 24 meses'!Q14</f>
        <v>41.8013190709687</v>
      </c>
      <c r="J14" s="40" t="n">
        <f aca="false">'Projeção 24 meses'!T14</f>
        <v>3395</v>
      </c>
      <c r="K14" s="40" t="n">
        <f aca="false">'Projeção 24 meses'!U14+'Projeção 24 meses'!V14</f>
        <v>1982.62805871336</v>
      </c>
      <c r="L14" s="40" t="n">
        <f aca="false">G14+H14+I14+J14+K14</f>
        <v>6023.47741499426</v>
      </c>
      <c r="M14" s="56" t="n">
        <f aca="false">F14-L14</f>
        <v>-11.6202598942818</v>
      </c>
      <c r="N14" s="56" t="n">
        <f aca="false">IF('Projeção 24 meses'!B14=1,Premissas!$C$8,N(N13))+M14</f>
        <v>-9905.45448501427</v>
      </c>
      <c r="O14" s="40" t="n">
        <f aca="false">'Projeção 24 meses'!I14*Premissas!$F$13/12+'Projeção 24 meses'!K14*Premissas!$F$14/12</f>
        <v>1044.31292705805</v>
      </c>
      <c r="P14" s="40" t="n">
        <f aca="false">N(P13)+E14-O14</f>
        <v>7778.31466823783</v>
      </c>
      <c r="Q14" s="1"/>
      <c r="R14" s="1"/>
      <c r="S14" s="1"/>
      <c r="T14" s="1"/>
      <c r="U14" s="1"/>
      <c r="V14" s="1"/>
    </row>
    <row r="15" customFormat="false" ht="15" hidden="false" customHeight="false" outlineLevel="0" collapsed="false">
      <c r="A15" s="1"/>
      <c r="B15" s="51" t="n">
        <f aca="false">'Projeção 24 meses'!B15</f>
        <v>10</v>
      </c>
      <c r="C15" s="52" t="n">
        <f aca="false">'Projeção 24 meses'!C15</f>
        <v>46569</v>
      </c>
      <c r="D15" s="40" t="n">
        <f aca="false">'Projeção 24 meses'!H15*Premissas!$C$13+'Projeção 24 meses'!J15*Premissas!$C$14</f>
        <v>4773.02949016254</v>
      </c>
      <c r="E15" s="40" t="n">
        <f aca="false">'Projeção 24 meses'!AG15*Premissas!$F$13+'Projeção 24 meses'!AH15*Premissas!$F$14</f>
        <v>1923.45485872876</v>
      </c>
      <c r="F15" s="40" t="n">
        <f aca="false">D15+E15</f>
        <v>6696.4843488913</v>
      </c>
      <c r="G15" s="40" t="n">
        <f aca="false">F15*Premissas!$C$30</f>
        <v>401.789060933478</v>
      </c>
      <c r="H15" s="40" t="n">
        <f aca="false">F15*Premissas!$C$28+'Projeção 24 meses'!AJ15*Premissas!$C$29</f>
        <v>271.579534358804</v>
      </c>
      <c r="I15" s="40" t="n">
        <f aca="false">'Projeção 24 meses'!Q15</f>
        <v>47.5442095170553</v>
      </c>
      <c r="J15" s="40" t="n">
        <f aca="false">'Projeção 24 meses'!T15</f>
        <v>3395</v>
      </c>
      <c r="K15" s="40" t="n">
        <f aca="false">'Projeção 24 meses'!U15+'Projeção 24 meses'!V15</f>
        <v>2045.40581794004</v>
      </c>
      <c r="L15" s="40" t="n">
        <f aca="false">G15+H15+I15+J15+K15</f>
        <v>6161.31862274937</v>
      </c>
      <c r="M15" s="56" t="n">
        <f aca="false">F15-L15</f>
        <v>535.165726141932</v>
      </c>
      <c r="N15" s="56" t="n">
        <f aca="false">IF('Projeção 24 meses'!B15=1,Premissas!$C$8,N(N14))+M15</f>
        <v>-9370.28875887234</v>
      </c>
      <c r="O15" s="40" t="n">
        <f aca="false">'Projeção 24 meses'!I15*Premissas!$F$13/12+'Projeção 24 meses'!K15*Premissas!$F$14/12</f>
        <v>1204.60083195212</v>
      </c>
      <c r="P15" s="40" t="n">
        <f aca="false">N(P14)+E15-O15</f>
        <v>8497.16869501448</v>
      </c>
      <c r="Q15" s="1"/>
      <c r="R15" s="1"/>
      <c r="S15" s="1"/>
      <c r="T15" s="1"/>
      <c r="U15" s="1"/>
      <c r="V15" s="1"/>
    </row>
    <row r="16" customFormat="false" ht="15" hidden="false" customHeight="false" outlineLevel="0" collapsed="false">
      <c r="A16" s="1"/>
      <c r="B16" s="51" t="n">
        <f aca="false">'Projeção 24 meses'!B16</f>
        <v>11</v>
      </c>
      <c r="C16" s="52" t="n">
        <f aca="false">'Projeção 24 meses'!C16</f>
        <v>46600</v>
      </c>
      <c r="D16" s="40" t="n">
        <f aca="false">'Projeção 24 meses'!H16*Premissas!$C$13+'Projeção 24 meses'!J16*Premissas!$C$14</f>
        <v>5357.74888776153</v>
      </c>
      <c r="E16" s="40" t="n">
        <f aca="false">'Projeção 24 meses'!AG16*Premissas!$F$13+'Projeção 24 meses'!AH16*Premissas!$F$14</f>
        <v>2058.09669883978</v>
      </c>
      <c r="F16" s="40" t="n">
        <f aca="false">D16+E16</f>
        <v>7415.84558660131</v>
      </c>
      <c r="G16" s="40" t="n">
        <f aca="false">F16*Premissas!$C$30</f>
        <v>444.950735196079</v>
      </c>
      <c r="H16" s="40" t="n">
        <f aca="false">F16*Premissas!$C$28+'Projeção 24 meses'!AJ16*Premissas!$C$29</f>
        <v>301.238997470439</v>
      </c>
      <c r="I16" s="40" t="n">
        <f aca="false">'Projeção 24 meses'!Q16</f>
        <v>53.5882623888119</v>
      </c>
      <c r="J16" s="40" t="n">
        <f aca="false">'Projeção 24 meses'!T16</f>
        <v>3395</v>
      </c>
      <c r="K16" s="40" t="n">
        <f aca="false">'Projeção 24 meses'!U16+'Projeção 24 meses'!V16</f>
        <v>2110.29783416608</v>
      </c>
      <c r="L16" s="40" t="n">
        <f aca="false">G16+H16+I16+J16+K16</f>
        <v>6305.07582922141</v>
      </c>
      <c r="M16" s="56" t="n">
        <f aca="false">F16-L16</f>
        <v>1110.7697573799</v>
      </c>
      <c r="N16" s="56" t="n">
        <f aca="false">IF('Projeção 24 meses'!B16=1,Premissas!$C$8,N(N15))+M16</f>
        <v>-8259.51900149244</v>
      </c>
      <c r="O16" s="40" t="n">
        <f aca="false">'Projeção 24 meses'!I16*Premissas!$F$13/12+'Projeção 24 meses'!K16*Premissas!$F$14/12</f>
        <v>1376.10889018876</v>
      </c>
      <c r="P16" s="40" t="n">
        <f aca="false">N(P15)+E16-O16</f>
        <v>9179.1565036655</v>
      </c>
      <c r="Q16" s="1"/>
      <c r="R16" s="1"/>
      <c r="S16" s="1"/>
      <c r="T16" s="1"/>
      <c r="U16" s="1"/>
      <c r="V16" s="1"/>
    </row>
    <row r="17" customFormat="false" ht="15" hidden="false" customHeight="false" outlineLevel="0" collapsed="false">
      <c r="A17" s="1"/>
      <c r="B17" s="51" t="n">
        <f aca="false">'Projeção 24 meses'!B17</f>
        <v>12</v>
      </c>
      <c r="C17" s="52" t="n">
        <f aca="false">'Projeção 24 meses'!C17</f>
        <v>46631</v>
      </c>
      <c r="D17" s="40" t="n">
        <f aca="false">'Projeção 24 meses'!H17*Premissas!$C$13+'Projeção 24 meses'!J17*Premissas!$C$14</f>
        <v>5970.86827652808</v>
      </c>
      <c r="E17" s="40" t="n">
        <f aca="false">'Projeção 24 meses'!AG17*Premissas!$F$13+'Projeção 24 meses'!AH17*Premissas!$F$14</f>
        <v>2202.16346775856</v>
      </c>
      <c r="F17" s="40" t="n">
        <f aca="false">D17+E17</f>
        <v>8173.03174428664</v>
      </c>
      <c r="G17" s="40" t="n">
        <f aca="false">F17*Premissas!$C$30</f>
        <v>490.381904657198</v>
      </c>
      <c r="H17" s="40" t="n">
        <f aca="false">F17*Premissas!$C$28+'Projeção 24 meses'!AJ17*Premissas!$C$29</f>
        <v>332.442178214561</v>
      </c>
      <c r="I17" s="40" t="n">
        <f aca="false">'Projeção 24 meses'!Q17</f>
        <v>59.9596010513135</v>
      </c>
      <c r="J17" s="40" t="n">
        <f aca="false">'Projeção 24 meses'!T17</f>
        <v>3395</v>
      </c>
      <c r="K17" s="40" t="n">
        <f aca="false">'Projeção 24 meses'!U17+'Projeção 24 meses'!V17</f>
        <v>2177.38369979706</v>
      </c>
      <c r="L17" s="40" t="n">
        <f aca="false">G17+H17+I17+J17+K17</f>
        <v>6455.16738372013</v>
      </c>
      <c r="M17" s="56" t="n">
        <f aca="false">F17-L17</f>
        <v>1717.8643605665</v>
      </c>
      <c r="N17" s="56" t="n">
        <f aca="false">IF('Projeção 24 meses'!B17=1,Premissas!$C$8,N(N16))+M17</f>
        <v>-6541.65464092594</v>
      </c>
      <c r="O17" s="40" t="n">
        <f aca="false">'Projeção 24 meses'!I17*Premissas!$F$13/12+'Projeção 24 meses'!K17*Premissas!$F$14/12</f>
        <v>1559.62251250198</v>
      </c>
      <c r="P17" s="40" t="n">
        <f aca="false">N(P16)+E17-O17</f>
        <v>9821.69745892208</v>
      </c>
      <c r="Q17" s="1"/>
      <c r="R17" s="1"/>
      <c r="S17" s="1"/>
      <c r="T17" s="1"/>
      <c r="U17" s="1"/>
      <c r="V17" s="1"/>
    </row>
    <row r="18" customFormat="false" ht="15" hidden="false" customHeight="false" outlineLevel="0" collapsed="false">
      <c r="A18" s="1"/>
      <c r="B18" s="51" t="n">
        <f aca="false">'Projeção 24 meses'!B18</f>
        <v>13</v>
      </c>
      <c r="C18" s="52" t="n">
        <f aca="false">'Projeção 24 meses'!C18</f>
        <v>46661</v>
      </c>
      <c r="D18" s="40" t="n">
        <f aca="false">'Projeção 24 meses'!H18*Premissas!$C$13+'Projeção 24 meses'!J18*Premissas!$C$14</f>
        <v>6615.00217417711</v>
      </c>
      <c r="E18" s="40" t="n">
        <f aca="false">'Projeção 24 meses'!AG18*Premissas!$F$13+'Projeção 24 meses'!AH18*Premissas!$F$14</f>
        <v>3036.36571050166</v>
      </c>
      <c r="F18" s="40" t="n">
        <f aca="false">D18+E18</f>
        <v>9651.36788467878</v>
      </c>
      <c r="G18" s="40" t="n">
        <f aca="false">F18*Premissas!$C$30</f>
        <v>579.082073080727</v>
      </c>
      <c r="H18" s="40" t="n">
        <f aca="false">F18*Premissas!$C$28+'Projeção 24 meses'!AJ18*Premissas!$C$29</f>
        <v>389.635137064713</v>
      </c>
      <c r="I18" s="40" t="n">
        <f aca="false">'Projeção 24 meses'!Q18</f>
        <v>66.4059254054258</v>
      </c>
      <c r="J18" s="40" t="n">
        <f aca="false">'Projeção 24 meses'!T18</f>
        <v>3395</v>
      </c>
      <c r="K18" s="40" t="n">
        <f aca="false">'Projeção 24 meses'!U18+'Projeção 24 meses'!V18</f>
        <v>2246.74652653939</v>
      </c>
      <c r="L18" s="40" t="n">
        <f aca="false">G18+H18+I18+J18+K18</f>
        <v>6676.86966209026</v>
      </c>
      <c r="M18" s="56" t="n">
        <f aca="false">F18-L18</f>
        <v>2974.49822258852</v>
      </c>
      <c r="N18" s="56" t="n">
        <f aca="false">IF('Projeção 24 meses'!B18=1,Premissas!$C$8,N(N17))+M18</f>
        <v>-3567.15641833742</v>
      </c>
      <c r="O18" s="40" t="n">
        <f aca="false">'Projeção 24 meses'!I18*Premissas!$F$13/12+'Projeção 24 meses'!K18*Premissas!$F$14/12</f>
        <v>1725.46698837712</v>
      </c>
      <c r="P18" s="40" t="n">
        <f aca="false">N(P17)+E18-O18</f>
        <v>11132.5961810466</v>
      </c>
      <c r="Q18" s="1"/>
      <c r="R18" s="1"/>
      <c r="S18" s="1"/>
      <c r="T18" s="1"/>
      <c r="U18" s="1"/>
      <c r="V18" s="1"/>
    </row>
    <row r="19" customFormat="false" ht="15" hidden="false" customHeight="false" outlineLevel="0" collapsed="false">
      <c r="A19" s="1"/>
      <c r="B19" s="51" t="n">
        <f aca="false">'Projeção 24 meses'!B19</f>
        <v>14</v>
      </c>
      <c r="C19" s="52" t="n">
        <f aca="false">'Projeção 24 meses'!C19</f>
        <v>46692</v>
      </c>
      <c r="D19" s="40" t="n">
        <f aca="false">'Projeção 24 meses'!H19*Premissas!$C$13+'Projeção 24 meses'!J19*Premissas!$C$14</f>
        <v>7292.91678874698</v>
      </c>
      <c r="E19" s="40" t="n">
        <f aca="false">'Projeção 24 meses'!AG19*Premissas!$F$13+'Projeção 24 meses'!AH19*Premissas!$F$14</f>
        <v>3248.91131023678</v>
      </c>
      <c r="F19" s="40" t="n">
        <f aca="false">D19+E19</f>
        <v>10541.8280989838</v>
      </c>
      <c r="G19" s="40" t="n">
        <f aca="false">F19*Premissas!$C$30</f>
        <v>632.509685939026</v>
      </c>
      <c r="H19" s="40" t="n">
        <f aca="false">F19*Premissas!$C$28+'Projeção 24 meses'!AJ19*Premissas!$C$29</f>
        <v>426.039693615619</v>
      </c>
      <c r="I19" s="40" t="n">
        <f aca="false">'Projeção 24 meses'!Q19</f>
        <v>73.2170348503001</v>
      </c>
      <c r="J19" s="40" t="n">
        <f aca="false">'Projeção 24 meses'!T19</f>
        <v>3395</v>
      </c>
      <c r="K19" s="40" t="n">
        <f aca="false">'Projeção 24 meses'!U19+'Projeção 24 meses'!V19</f>
        <v>2318.47313018638</v>
      </c>
      <c r="L19" s="40" t="n">
        <f aca="false">G19+H19+I19+J19+K19</f>
        <v>6845.23954459132</v>
      </c>
      <c r="M19" s="56" t="n">
        <f aca="false">F19-L19</f>
        <v>3696.58855439244</v>
      </c>
      <c r="N19" s="56" t="n">
        <f aca="false">IF('Projeção 24 meses'!B19=1,Premissas!$C$8,N(N18))+M19</f>
        <v>129.432136055023</v>
      </c>
      <c r="O19" s="40" t="n">
        <f aca="false">'Projeção 24 meses'!I19*Premissas!$F$13/12+'Projeção 24 meses'!K19*Premissas!$F$14/12</f>
        <v>1902.92057756351</v>
      </c>
      <c r="P19" s="40" t="n">
        <f aca="false">N(P18)+E19-O19</f>
        <v>12478.5869137199</v>
      </c>
      <c r="Q19" s="1"/>
      <c r="R19" s="1"/>
      <c r="S19" s="1"/>
      <c r="T19" s="1"/>
      <c r="U19" s="1"/>
      <c r="V19" s="1"/>
    </row>
    <row r="20" customFormat="false" ht="15" hidden="false" customHeight="false" outlineLevel="0" collapsed="false">
      <c r="A20" s="1"/>
      <c r="B20" s="51" t="n">
        <f aca="false">'Projeção 24 meses'!B20</f>
        <v>15</v>
      </c>
      <c r="C20" s="52" t="n">
        <f aca="false">'Projeção 24 meses'!C20</f>
        <v>46722</v>
      </c>
      <c r="D20" s="40" t="n">
        <f aca="false">'Projeção 24 meses'!H20*Premissas!$C$13+'Projeção 24 meses'!J20*Premissas!$C$14</f>
        <v>8007.54220321787</v>
      </c>
      <c r="E20" s="40" t="n">
        <f aca="false">'Projeção 24 meses'!AG20*Premissas!$F$13+'Projeção 24 meses'!AH20*Premissas!$F$14</f>
        <v>3476.33510195335</v>
      </c>
      <c r="F20" s="40" t="n">
        <f aca="false">D20+E20</f>
        <v>11483.8773051712</v>
      </c>
      <c r="G20" s="40" t="n">
        <f aca="false">F20*Premissas!$C$30</f>
        <v>689.032638310273</v>
      </c>
      <c r="H20" s="40" t="n">
        <f aca="false">F20*Premissas!$C$28+'Projeção 24 meses'!AJ20*Premissas!$C$29</f>
        <v>464.53606427727</v>
      </c>
      <c r="I20" s="40" t="n">
        <f aca="false">'Projeção 24 meses'!Q20</f>
        <v>80.4227872229908</v>
      </c>
      <c r="J20" s="40" t="n">
        <f aca="false">'Projeção 24 meses'!T20</f>
        <v>3395</v>
      </c>
      <c r="K20" s="40" t="n">
        <f aca="false">'Projeção 24 meses'!U20+'Projeção 24 meses'!V20</f>
        <v>2392.65422649233</v>
      </c>
      <c r="L20" s="40" t="n">
        <f aca="false">G20+H20+I20+J20+K20</f>
        <v>7021.64571630286</v>
      </c>
      <c r="M20" s="56" t="n">
        <f aca="false">F20-L20</f>
        <v>4462.23158886836</v>
      </c>
      <c r="N20" s="56" t="n">
        <f aca="false">IF('Projeção 24 meses'!B20=1,Premissas!$C$8,N(N19))+M20</f>
        <v>4591.66372492338</v>
      </c>
      <c r="O20" s="40" t="n">
        <f aca="false">'Projeção 24 meses'!I20*Premissas!$F$13/12+'Projeção 24 meses'!K20*Premissas!$F$14/12</f>
        <v>2092.79591799296</v>
      </c>
      <c r="P20" s="40" t="n">
        <f aca="false">N(P19)+E20-O20</f>
        <v>13862.1260976803</v>
      </c>
      <c r="Q20" s="1"/>
      <c r="R20" s="1"/>
      <c r="S20" s="1"/>
      <c r="T20" s="1"/>
      <c r="U20" s="1"/>
      <c r="V20" s="1"/>
    </row>
    <row r="21" customFormat="false" ht="15" hidden="false" customHeight="false" outlineLevel="0" collapsed="false">
      <c r="A21" s="1"/>
      <c r="B21" s="51" t="n">
        <f aca="false">'Projeção 24 meses'!B21</f>
        <v>16</v>
      </c>
      <c r="C21" s="52" t="n">
        <f aca="false">'Projeção 24 meses'!C21</f>
        <v>46753</v>
      </c>
      <c r="D21" s="40" t="n">
        <f aca="false">'Projeção 24 meses'!H21*Premissas!$C$13+'Projeção 24 meses'!J21*Premissas!$C$14</f>
        <v>8761.98533473879</v>
      </c>
      <c r="E21" s="40" t="n">
        <f aca="false">'Projeção 24 meses'!AG21*Premissas!$F$13+'Projeção 24 meses'!AH21*Premissas!$F$14</f>
        <v>3719.67855909009</v>
      </c>
      <c r="F21" s="40" t="n">
        <f aca="false">D21+E21</f>
        <v>12481.6638938289</v>
      </c>
      <c r="G21" s="40" t="n">
        <f aca="false">F21*Premissas!$C$30</f>
        <v>748.899833629733</v>
      </c>
      <c r="H21" s="40" t="n">
        <f aca="false">F21*Premissas!$C$28+'Projeção 24 meses'!AJ21*Premissas!$C$29</f>
        <v>505.293501279808</v>
      </c>
      <c r="I21" s="40" t="n">
        <f aca="false">'Projeção 24 meses'!Q21</f>
        <v>88.0549142651113</v>
      </c>
      <c r="J21" s="40" t="n">
        <f aca="false">'Projeção 24 meses'!T21</f>
        <v>3395</v>
      </c>
      <c r="K21" s="40" t="n">
        <f aca="false">'Projeção 24 meses'!U21+'Projeção 24 meses'!V21</f>
        <v>2469.38463885548</v>
      </c>
      <c r="L21" s="40" t="n">
        <f aca="false">G21+H21+I21+J21+K21</f>
        <v>7206.63288803014</v>
      </c>
      <c r="M21" s="56" t="n">
        <f aca="false">F21-L21</f>
        <v>5275.03100579874</v>
      </c>
      <c r="N21" s="56" t="n">
        <f aca="false">IF('Projeção 24 meses'!B21=1,Premissas!$C$8,N(N20))+M21</f>
        <v>9866.69473072212</v>
      </c>
      <c r="O21" s="40" t="n">
        <f aca="false">'Projeção 24 meses'!I21*Premissas!$F$13/12+'Projeção 24 meses'!K21*Premissas!$F$14/12</f>
        <v>2295.96253225247</v>
      </c>
      <c r="P21" s="40" t="n">
        <f aca="false">N(P20)+E21-O21</f>
        <v>15285.8421245179</v>
      </c>
      <c r="Q21" s="1"/>
      <c r="R21" s="1"/>
      <c r="S21" s="1"/>
      <c r="T21" s="1"/>
      <c r="U21" s="1"/>
      <c r="V21" s="1"/>
    </row>
    <row r="22" customFormat="false" ht="15" hidden="false" customHeight="false" outlineLevel="0" collapsed="false">
      <c r="A22" s="1"/>
      <c r="B22" s="51" t="n">
        <f aca="false">'Projeção 24 meses'!B22</f>
        <v>17</v>
      </c>
      <c r="C22" s="52" t="n">
        <f aca="false">'Projeção 24 meses'!C22</f>
        <v>46784</v>
      </c>
      <c r="D22" s="40" t="n">
        <f aca="false">'Projeção 24 meses'!H22*Premissas!$C$13+'Projeção 24 meses'!J22*Premissas!$C$14</f>
        <v>9559.54372660138</v>
      </c>
      <c r="E22" s="40" t="n">
        <f aca="false">'Projeção 24 meses'!AG22*Premissas!$F$13+'Projeção 24 meses'!AH22*Premissas!$F$14</f>
        <v>3980.05605822639</v>
      </c>
      <c r="F22" s="40" t="n">
        <f aca="false">D22+E22</f>
        <v>13539.5997848278</v>
      </c>
      <c r="G22" s="40" t="n">
        <f aca="false">F22*Premissas!$C$30</f>
        <v>812.375987089667</v>
      </c>
      <c r="H22" s="40" t="n">
        <f aca="false">F22*Premissas!$C$28+'Projeção 24 meses'!AJ22*Premissas!$C$29</f>
        <v>548.491963247367</v>
      </c>
      <c r="I22" s="40" t="n">
        <f aca="false">'Projeção 24 meses'!Q22</f>
        <v>96.1471636033548</v>
      </c>
      <c r="J22" s="40" t="n">
        <f aca="false">'Projeção 24 meses'!T22</f>
        <v>3395</v>
      </c>
      <c r="K22" s="40" t="n">
        <f aca="false">'Projeção 24 meses'!U22+'Projeção 24 meses'!V22</f>
        <v>2548.76351857932</v>
      </c>
      <c r="L22" s="40" t="n">
        <f aca="false">G22+H22+I22+J22+K22</f>
        <v>7400.77863251971</v>
      </c>
      <c r="M22" s="56" t="n">
        <f aca="false">F22-L22</f>
        <v>6138.82115230807</v>
      </c>
      <c r="N22" s="56" t="n">
        <f aca="false">IF('Projeção 24 meses'!B22=1,Premissas!$C$8,N(N21))+M22</f>
        <v>16005.5158830302</v>
      </c>
      <c r="O22" s="40" t="n">
        <f aca="false">'Projeção 24 meses'!I22*Premissas!$F$13/12+'Projeção 24 meses'!K22*Premissas!$F$14/12</f>
        <v>2513.35080951014</v>
      </c>
      <c r="P22" s="40" t="n">
        <f aca="false">N(P21)+E22-O22</f>
        <v>16752.5473732342</v>
      </c>
      <c r="Q22" s="1"/>
      <c r="R22" s="1"/>
      <c r="S22" s="1"/>
      <c r="T22" s="1"/>
      <c r="U22" s="1"/>
      <c r="V22" s="1"/>
    </row>
    <row r="23" customFormat="false" ht="15" hidden="false" customHeight="false" outlineLevel="0" collapsed="false">
      <c r="A23" s="1"/>
      <c r="B23" s="51" t="n">
        <f aca="false">'Projeção 24 meses'!B23</f>
        <v>18</v>
      </c>
      <c r="C23" s="52" t="n">
        <f aca="false">'Projeção 24 meses'!C23</f>
        <v>46813</v>
      </c>
      <c r="D23" s="40" t="n">
        <f aca="false">'Projeção 24 meses'!H23*Premissas!$C$13+'Projeção 24 meses'!J23*Premissas!$C$14</f>
        <v>10403.7202349728</v>
      </c>
      <c r="E23" s="40" t="n">
        <f aca="false">'Projeção 24 meses'!AG23*Premissas!$F$13+'Projeção 24 meses'!AH23*Premissas!$F$14</f>
        <v>4258.65998230224</v>
      </c>
      <c r="F23" s="40" t="n">
        <f aca="false">D23+E23</f>
        <v>14662.3802172751</v>
      </c>
      <c r="G23" s="40" t="n">
        <f aca="false">F23*Premissas!$C$30</f>
        <v>879.742813036504</v>
      </c>
      <c r="H23" s="40" t="n">
        <f aca="false">F23*Premissas!$C$28+'Projeção 24 meses'!AJ23*Premissas!$C$29</f>
        <v>594.322921708757</v>
      </c>
      <c r="I23" s="40" t="n">
        <f aca="false">'Projeção 24 meses'!Q23</f>
        <v>104.735450128291</v>
      </c>
      <c r="J23" s="40" t="n">
        <f aca="false">'Projeção 24 meses'!T23</f>
        <v>3395</v>
      </c>
      <c r="K23" s="40" t="n">
        <f aca="false">'Projeção 24 meses'!U23+'Projeção 24 meses'!V23</f>
        <v>2630.89457853395</v>
      </c>
      <c r="L23" s="40" t="n">
        <f aca="false">G23+H23+I23+J23+K23</f>
        <v>7604.6957634075</v>
      </c>
      <c r="M23" s="56" t="n">
        <f aca="false">F23-L23</f>
        <v>7057.68445386756</v>
      </c>
      <c r="N23" s="56" t="n">
        <f aca="false">IF('Projeção 24 meses'!B23=1,Premissas!$C$8,N(N22))+M23</f>
        <v>23063.2003368978</v>
      </c>
      <c r="O23" s="40" t="n">
        <f aca="false">'Projeção 24 meses'!I23*Premissas!$F$13/12+'Projeção 24 meses'!K23*Premissas!$F$14/12</f>
        <v>2745.95626617585</v>
      </c>
      <c r="P23" s="40" t="n">
        <f aca="false">N(P22)+E23-O23</f>
        <v>18265.2510893606</v>
      </c>
      <c r="Q23" s="1"/>
      <c r="R23" s="1"/>
      <c r="S23" s="1"/>
      <c r="T23" s="1"/>
      <c r="U23" s="1"/>
      <c r="V23" s="1"/>
    </row>
    <row r="24" customFormat="false" ht="15" hidden="false" customHeight="false" outlineLevel="0" collapsed="false">
      <c r="A24" s="1"/>
      <c r="B24" s="51" t="n">
        <f aca="false">'Projeção 24 meses'!B24</f>
        <v>19</v>
      </c>
      <c r="C24" s="52" t="n">
        <f aca="false">'Projeção 24 meses'!C24</f>
        <v>46844</v>
      </c>
      <c r="D24" s="40" t="n">
        <f aca="false">'Projeção 24 meses'!H24*Premissas!$C$13+'Projeção 24 meses'!J24*Premissas!$C$14</f>
        <v>11298.2386765548</v>
      </c>
      <c r="E24" s="40" t="n">
        <f aca="false">'Projeção 24 meses'!AG24*Premissas!$F$13+'Projeção 24 meses'!AH24*Premissas!$F$14</f>
        <v>4556.7661810634</v>
      </c>
      <c r="F24" s="40" t="n">
        <f aca="false">D24+E24</f>
        <v>15855.0048576182</v>
      </c>
      <c r="G24" s="40" t="n">
        <f aca="false">F24*Premissas!$C$30</f>
        <v>951.300291457091</v>
      </c>
      <c r="H24" s="40" t="n">
        <f aca="false">F24*Premissas!$C$28+'Projeção 24 meses'!AJ24*Premissas!$C$29</f>
        <v>642.990221210741</v>
      </c>
      <c r="I24" s="40" t="n">
        <f aca="false">'Projeção 24 meses'!Q24</f>
        <v>113.858017456338</v>
      </c>
      <c r="J24" s="40" t="n">
        <f aca="false">'Projeção 24 meses'!T24</f>
        <v>3395</v>
      </c>
      <c r="K24" s="40" t="n">
        <f aca="false">'Projeção 24 meses'!U24+'Projeção 24 meses'!V24</f>
        <v>2715.88634109502</v>
      </c>
      <c r="L24" s="40" t="n">
        <f aca="false">G24+H24+I24+J24+K24</f>
        <v>7819.03487121919</v>
      </c>
      <c r="M24" s="56" t="n">
        <f aca="false">F24-L24</f>
        <v>8035.969986399</v>
      </c>
      <c r="N24" s="56" t="n">
        <f aca="false">IF('Projeção 24 meses'!B24=1,Premissas!$C$8,N(N23))+M24</f>
        <v>31099.1703232968</v>
      </c>
      <c r="O24" s="40" t="n">
        <f aca="false">'Projeção 24 meses'!I24*Premissas!$F$13/12+'Projeção 24 meses'!K24*Premissas!$F$14/12</f>
        <v>2994.84410480816</v>
      </c>
      <c r="P24" s="40" t="n">
        <f aca="false">N(P23)+E24-O24</f>
        <v>19827.1731656158</v>
      </c>
      <c r="Q24" s="1"/>
      <c r="R24" s="1"/>
      <c r="S24" s="1"/>
      <c r="T24" s="1"/>
      <c r="U24" s="1"/>
      <c r="V24" s="1"/>
    </row>
    <row r="25" customFormat="false" ht="15" hidden="false" customHeight="false" outlineLevel="0" collapsed="false">
      <c r="A25" s="1"/>
      <c r="B25" s="51" t="n">
        <f aca="false">'Projeção 24 meses'!B25</f>
        <v>20</v>
      </c>
      <c r="C25" s="52" t="n">
        <f aca="false">'Projeção 24 meses'!C25</f>
        <v>46874</v>
      </c>
      <c r="D25" s="40" t="n">
        <f aca="false">'Projeção 24 meses'!H25*Premissas!$C$13+'Projeção 24 meses'!J25*Premissas!$C$14</f>
        <v>12247.0605077908</v>
      </c>
      <c r="E25" s="40" t="n">
        <f aca="false">'Projeção 24 meses'!AG25*Premissas!$F$13+'Projeção 24 meses'!AH25*Premissas!$F$14</f>
        <v>4875.73981373784</v>
      </c>
      <c r="F25" s="40" t="n">
        <f aca="false">D25+E25</f>
        <v>17122.8003215286</v>
      </c>
      <c r="G25" s="40" t="n">
        <f aca="false">F25*Premissas!$C$30</f>
        <v>1027.36801929172</v>
      </c>
      <c r="H25" s="40" t="n">
        <f aca="false">F25*Premissas!$C$28+'Projeção 24 meses'!AJ25*Premissas!$C$29</f>
        <v>694.710996928745</v>
      </c>
      <c r="I25" s="40" t="n">
        <f aca="false">'Projeção 24 meses'!Q25</f>
        <v>123.555610206394</v>
      </c>
      <c r="J25" s="40" t="n">
        <f aca="false">'Projeção 24 meses'!T25</f>
        <v>3395</v>
      </c>
      <c r="K25" s="40" t="n">
        <f aca="false">'Projeção 24 meses'!U25+'Projeção 24 meses'!V25</f>
        <v>2803.85240129728</v>
      </c>
      <c r="L25" s="40" t="n">
        <f aca="false">G25+H25+I25+J25+K25</f>
        <v>8044.48702772413</v>
      </c>
      <c r="M25" s="56" t="n">
        <f aca="false">F25-L25</f>
        <v>9078.31329380451</v>
      </c>
      <c r="N25" s="56" t="n">
        <f aca="false">IF('Projeção 24 meses'!B25=1,Premissas!$C$8,N(N24))+M25</f>
        <v>40177.4836171013</v>
      </c>
      <c r="O25" s="40" t="n">
        <f aca="false">'Projeção 24 meses'!I25*Premissas!$F$13/12+'Projeção 24 meses'!K25*Premissas!$F$14/12</f>
        <v>3261.15409214473</v>
      </c>
      <c r="P25" s="40" t="n">
        <f aca="false">N(P24)+E25-O25</f>
        <v>21441.7588872089</v>
      </c>
      <c r="Q25" s="1"/>
      <c r="R25" s="1"/>
      <c r="S25" s="1"/>
      <c r="T25" s="1"/>
      <c r="U25" s="1"/>
      <c r="V25" s="1"/>
    </row>
    <row r="26" customFormat="false" ht="15" hidden="false" customHeight="false" outlineLevel="0" collapsed="false">
      <c r="A26" s="1"/>
      <c r="B26" s="51" t="n">
        <f aca="false">'Projeção 24 meses'!B26</f>
        <v>21</v>
      </c>
      <c r="C26" s="52" t="n">
        <f aca="false">'Projeção 24 meses'!C26</f>
        <v>46905</v>
      </c>
      <c r="D26" s="40" t="n">
        <f aca="false">'Projeção 24 meses'!H26*Premissas!$C$13+'Projeção 24 meses'!J26*Premissas!$C$14</f>
        <v>13254.4026110195</v>
      </c>
      <c r="E26" s="40" t="n">
        <f aca="false">'Projeção 24 meses'!AG26*Premissas!$F$13+'Projeção 24 meses'!AH26*Premissas!$F$14</f>
        <v>5217.04160069949</v>
      </c>
      <c r="F26" s="40" t="n">
        <f aca="false">D26+E26</f>
        <v>18471.444211719</v>
      </c>
      <c r="G26" s="40" t="n">
        <f aca="false">F26*Premissas!$C$30</f>
        <v>1108.28665270314</v>
      </c>
      <c r="H26" s="40" t="n">
        <f aca="false">F26*Premissas!$C$28+'Projeção 24 meses'!AJ26*Premissas!$C$29</f>
        <v>749.716653935346</v>
      </c>
      <c r="I26" s="40" t="n">
        <f aca="false">'Projeção 24 meses'!Q26</f>
        <v>133.871657872549</v>
      </c>
      <c r="J26" s="40" t="n">
        <f aca="false">'Projeção 24 meses'!T26</f>
        <v>3395</v>
      </c>
      <c r="K26" s="40" t="n">
        <f aca="false">'Projeção 24 meses'!U26+'Projeção 24 meses'!V26</f>
        <v>2894.91170620346</v>
      </c>
      <c r="L26" s="40" t="n">
        <f aca="false">G26+H26+I26+J26+K26</f>
        <v>8281.78667071449</v>
      </c>
      <c r="M26" s="56" t="n">
        <f aca="false">F26-L26</f>
        <v>10189.6575410045</v>
      </c>
      <c r="N26" s="56" t="n">
        <f aca="false">IF('Projeção 24 meses'!B26=1,Premissas!$C$8,N(N25))+M26</f>
        <v>50367.1411581057</v>
      </c>
      <c r="O26" s="40" t="n">
        <f aca="false">'Projeção 24 meses'!I26*Premissas!$F$13/12+'Projeção 24 meses'!K26*Premissas!$F$14/12</f>
        <v>3546.10577859486</v>
      </c>
      <c r="P26" s="40" t="n">
        <f aca="false">N(P25)+E26-O26</f>
        <v>23112.6947093135</v>
      </c>
      <c r="Q26" s="1"/>
      <c r="R26" s="1"/>
      <c r="S26" s="1"/>
      <c r="T26" s="1"/>
      <c r="U26" s="1"/>
      <c r="V26" s="1"/>
    </row>
    <row r="27" customFormat="false" ht="15" hidden="false" customHeight="false" outlineLevel="0" collapsed="false">
      <c r="A27" s="1"/>
      <c r="B27" s="51" t="n">
        <f aca="false">'Projeção 24 meses'!B27</f>
        <v>22</v>
      </c>
      <c r="C27" s="52" t="n">
        <f aca="false">'Projeção 24 meses'!C27</f>
        <v>46935</v>
      </c>
      <c r="D27" s="40" t="n">
        <f aca="false">'Projeção 24 meses'!H27*Premissas!$C$13+'Projeção 24 meses'!J27*Premissas!$C$14</f>
        <v>14324.75626809</v>
      </c>
      <c r="E27" s="40" t="n">
        <f aca="false">'Projeção 24 meses'!AG27*Premissas!$F$13+'Projeção 24 meses'!AH27*Premissas!$F$14</f>
        <v>5582.23451274845</v>
      </c>
      <c r="F27" s="40" t="n">
        <f aca="false">D27+E27</f>
        <v>19906.9907808385</v>
      </c>
      <c r="G27" s="40" t="n">
        <f aca="false">F27*Premissas!$C$30</f>
        <v>1194.41944685031</v>
      </c>
      <c r="H27" s="40" t="n">
        <f aca="false">F27*Premissas!$C$28+'Projeção 24 meses'!AJ27*Premissas!$C$29</f>
        <v>808.25391257133</v>
      </c>
      <c r="I27" s="40" t="n">
        <f aca="false">'Projeção 24 meses'!Q27</f>
        <v>144.85247112775</v>
      </c>
      <c r="J27" s="40" t="n">
        <f aca="false">'Projeção 24 meses'!T27</f>
        <v>3395</v>
      </c>
      <c r="K27" s="40" t="n">
        <f aca="false">'Projeção 24 meses'!U27+'Projeção 24 meses'!V27</f>
        <v>2989.18885155754</v>
      </c>
      <c r="L27" s="40" t="n">
        <f aca="false">G27+H27+I27+J27+K27</f>
        <v>8531.71468210692</v>
      </c>
      <c r="M27" s="56" t="n">
        <f aca="false">F27-L27</f>
        <v>11375.2760987315</v>
      </c>
      <c r="N27" s="56" t="n">
        <f aca="false">IF('Projeção 24 meses'!B27=1,Premissas!$C$8,N(N26))+M27</f>
        <v>61742.4172568373</v>
      </c>
      <c r="O27" s="40" t="n">
        <f aca="false">'Projeção 24 meses'!I27*Premissas!$F$13/12+'Projeção 24 meses'!K27*Premissas!$F$14/12</f>
        <v>3851.0040830965</v>
      </c>
      <c r="P27" s="40" t="n">
        <f aca="false">N(P26)+E27-O27</f>
        <v>24843.9251389655</v>
      </c>
      <c r="Q27" s="1"/>
      <c r="R27" s="1"/>
      <c r="S27" s="1"/>
      <c r="T27" s="1"/>
      <c r="U27" s="1"/>
      <c r="V27" s="1"/>
    </row>
    <row r="28" customFormat="false" ht="15" hidden="false" customHeight="false" outlineLevel="0" collapsed="false">
      <c r="A28" s="1"/>
      <c r="B28" s="51" t="n">
        <f aca="false">'Projeção 24 meses'!B28</f>
        <v>23</v>
      </c>
      <c r="C28" s="52" t="n">
        <f aca="false">'Projeção 24 meses'!C28</f>
        <v>46966</v>
      </c>
      <c r="D28" s="40" t="n">
        <f aca="false">'Projeção 24 meses'!H28*Premissas!$C$13+'Projeção 24 meses'!J28*Premissas!$C$14</f>
        <v>15462.9074074405</v>
      </c>
      <c r="E28" s="40" t="n">
        <f aca="false">'Projeção 24 meses'!AG28*Premissas!$F$13+'Projeção 24 meses'!AH28*Premissas!$F$14</f>
        <v>5972.99092864084</v>
      </c>
      <c r="F28" s="40" t="n">
        <f aca="false">D28+E28</f>
        <v>21435.8983360813</v>
      </c>
      <c r="G28" s="40" t="n">
        <f aca="false">F28*Premissas!$C$30</f>
        <v>1286.15390016488</v>
      </c>
      <c r="H28" s="40" t="n">
        <f aca="false">F28*Premissas!$C$28+'Projeção 24 meses'!AJ28*Premissas!$C$29</f>
        <v>870.585924668808</v>
      </c>
      <c r="I28" s="40" t="n">
        <f aca="false">'Projeção 24 meses'!Q28</f>
        <v>156.547451450608</v>
      </c>
      <c r="J28" s="40" t="n">
        <f aca="false">'Projeção 24 meses'!T28</f>
        <v>3395</v>
      </c>
      <c r="K28" s="40" t="n">
        <f aca="false">'Projeção 24 meses'!U28+'Projeção 24 meses'!V28</f>
        <v>3086.81439686399</v>
      </c>
      <c r="L28" s="40" t="n">
        <f aca="false">G28+H28+I28+J28+K28</f>
        <v>8795.10167314829</v>
      </c>
      <c r="M28" s="56" t="n">
        <f aca="false">F28-L28</f>
        <v>12640.796662933</v>
      </c>
      <c r="N28" s="56" t="n">
        <f aca="false">IF('Projeção 24 meses'!B28=1,Premissas!$C$8,N(N27))+M28</f>
        <v>74383.2139197703</v>
      </c>
      <c r="O28" s="40" t="n">
        <f aca="false">'Projeção 24 meses'!I28*Premissas!$F$13/12+'Projeção 24 meses'!K28*Premissas!$F$14/12</f>
        <v>4177.24526891326</v>
      </c>
      <c r="P28" s="40" t="n">
        <f aca="false">N(P27)+E28-O28</f>
        <v>26639.6707986931</v>
      </c>
      <c r="Q28" s="1"/>
      <c r="R28" s="1"/>
      <c r="S28" s="1"/>
      <c r="T28" s="1"/>
      <c r="U28" s="1"/>
      <c r="V28" s="1"/>
    </row>
    <row r="29" customFormat="false" ht="15" hidden="false" customHeight="false" outlineLevel="0" collapsed="false">
      <c r="A29" s="1"/>
      <c r="B29" s="51" t="n">
        <f aca="false">'Projeção 24 meses'!B29</f>
        <v>24</v>
      </c>
      <c r="C29" s="52" t="n">
        <f aca="false">'Projeção 24 meses'!C29</f>
        <v>46997</v>
      </c>
      <c r="D29" s="40" t="n">
        <f aca="false">'Projeção 24 meses'!H29*Premissas!$C$13+'Projeção 24 meses'!J29*Premissas!$C$14</f>
        <v>16673.9582165163</v>
      </c>
      <c r="E29" s="40" t="n">
        <f aca="false">'Projeção 24 meses'!AG29*Premissas!$F$13+'Projeção 24 meses'!AH29*Premissas!$F$14</f>
        <v>6391.1002936457</v>
      </c>
      <c r="F29" s="40" t="n">
        <f aca="false">D29+E29</f>
        <v>23065.058510162</v>
      </c>
      <c r="G29" s="40" t="n">
        <f aca="false">F29*Premissas!$C$30</f>
        <v>1383.90351060972</v>
      </c>
      <c r="H29" s="40" t="n">
        <f aca="false">F29*Premissas!$C$28+'Projeção 24 meses'!AJ29*Premissas!$C$29</f>
        <v>936.993465702235</v>
      </c>
      <c r="I29" s="40" t="n">
        <f aca="false">'Projeção 24 meses'!Q29</f>
        <v>169.009315028871</v>
      </c>
      <c r="J29" s="40" t="n">
        <f aca="false">'Projeção 24 meses'!T29</f>
        <v>3395</v>
      </c>
      <c r="K29" s="40" t="n">
        <f aca="false">'Projeção 24 meses'!U29+'Projeção 24 meses'!V29</f>
        <v>3187.92520011283</v>
      </c>
      <c r="L29" s="40" t="n">
        <f aca="false">G29+H29+I29+J29+K29</f>
        <v>9072.83149145365</v>
      </c>
      <c r="M29" s="56" t="n">
        <f aca="false">F29-L29</f>
        <v>13992.2270187084</v>
      </c>
      <c r="N29" s="56" t="n">
        <f aca="false">IF('Projeção 24 meses'!B29=1,Premissas!$C$8,N(N28))+M29</f>
        <v>88375.4409384787</v>
      </c>
      <c r="O29" s="40" t="n">
        <f aca="false">'Projeção 24 meses'!I29*Premissas!$F$13/12+'Projeção 24 meses'!K29*Premissas!$F$14/12</f>
        <v>4526.32333773719</v>
      </c>
      <c r="P29" s="40" t="n">
        <f aca="false">N(P28)+E29-O29</f>
        <v>28504.4477546016</v>
      </c>
      <c r="Q29" s="1"/>
      <c r="R29" s="1"/>
      <c r="S29" s="1"/>
      <c r="T29" s="1"/>
      <c r="U29" s="1"/>
      <c r="V29" s="1"/>
    </row>
    <row r="30" customFormat="false" ht="15" hidden="false" customHeight="false" outlineLevel="0" collapsed="false">
      <c r="A30" s="1"/>
      <c r="B30" s="46" t="s">
        <v>184</v>
      </c>
      <c r="C30" s="46"/>
      <c r="D30" s="47" t="n">
        <f aca="false">SUM(D6:D29)</f>
        <v>170203.340174531</v>
      </c>
      <c r="E30" s="47" t="n">
        <f aca="false">SUM(E6:E29)</f>
        <v>73031.35020287</v>
      </c>
      <c r="F30" s="47" t="n">
        <f aca="false">SUM(F6:F29)</f>
        <v>243234.690377401</v>
      </c>
      <c r="G30" s="47" t="n">
        <f aca="false">SUM(G6:G29)</f>
        <v>14594.0814226441</v>
      </c>
      <c r="H30" s="47" t="n">
        <f aca="false">SUM(H6:H29)</f>
        <v>9843.16443038549</v>
      </c>
      <c r="I30" s="47" t="n">
        <f aca="false">SUM(I6:I29)</f>
        <v>1709.81806626533</v>
      </c>
      <c r="J30" s="47" t="n">
        <f aca="false">SUM(J6:J29)</f>
        <v>74280</v>
      </c>
      <c r="K30" s="47" t="n">
        <f aca="false">SUM(K6:K29)</f>
        <v>54432.1855196276</v>
      </c>
      <c r="L30" s="47" t="n">
        <f aca="false">SUM(L6:L29)</f>
        <v>154859.249438923</v>
      </c>
      <c r="M30" s="47" t="n">
        <f aca="false">SUM(M6:M29)</f>
        <v>88375.4409384787</v>
      </c>
      <c r="N30" s="62"/>
      <c r="O30" s="47" t="n">
        <f aca="false">SUM(O6:O29)</f>
        <v>44526.9024482684</v>
      </c>
      <c r="P30" s="62"/>
      <c r="Q30" s="1"/>
      <c r="R30" s="1"/>
      <c r="S30" s="1"/>
      <c r="T30" s="1"/>
      <c r="U30" s="1"/>
      <c r="V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15" hidden="false" customHeight="false" outlineLevel="0" collapsed="false">
      <c r="A32" s="1"/>
      <c r="B32" s="13" t="s">
        <v>203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15" hidden="false" customHeight="false" outlineLevel="0" collapsed="false">
      <c r="A33" s="1"/>
      <c r="B33" s="63" t="s">
        <v>204</v>
      </c>
      <c r="C33" s="63"/>
      <c r="D33" s="63"/>
      <c r="E33" s="63"/>
      <c r="F33" s="63"/>
      <c r="G33" s="64" t="n">
        <f aca="false">N29</f>
        <v>88375.4409384787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15" hidden="false" customHeight="false" outlineLevel="0" collapsed="false">
      <c r="A34" s="1"/>
      <c r="B34" s="63" t="s">
        <v>205</v>
      </c>
      <c r="C34" s="63"/>
      <c r="D34" s="63"/>
      <c r="E34" s="63"/>
      <c r="F34" s="63"/>
      <c r="G34" s="64" t="n">
        <f aca="false">MIN(N6:N29)</f>
        <v>-9905.45448501427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5" hidden="false" customHeight="false" outlineLevel="0" collapsed="false">
      <c r="A35" s="1"/>
      <c r="B35" s="63" t="s">
        <v>206</v>
      </c>
      <c r="C35" s="63"/>
      <c r="D35" s="63"/>
      <c r="E35" s="63"/>
      <c r="F35" s="63"/>
      <c r="G35" s="65" t="n">
        <f aca="false">INDEX(C6:C29,MATCH(MIN(N6:N29),N6:N29,0))</f>
        <v>46539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5" hidden="false" customHeight="false" outlineLevel="0" collapsed="false">
      <c r="A36" s="1"/>
      <c r="B36" s="63" t="s">
        <v>207</v>
      </c>
      <c r="C36" s="63"/>
      <c r="D36" s="63"/>
      <c r="E36" s="63"/>
      <c r="F36" s="63"/>
      <c r="G36" s="64" t="n">
        <f aca="false">E30</f>
        <v>73031.35020287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15" hidden="false" customHeight="false" outlineLevel="0" collapsed="false">
      <c r="A37" s="1"/>
      <c r="B37" s="63" t="s">
        <v>208</v>
      </c>
      <c r="C37" s="63"/>
      <c r="D37" s="63"/>
      <c r="E37" s="63"/>
      <c r="F37" s="63"/>
      <c r="G37" s="64" t="n">
        <f aca="false">P29</f>
        <v>28504.4477546016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</sheetData>
  <mergeCells count="11">
    <mergeCell ref="B2:P2"/>
    <mergeCell ref="D4:F4"/>
    <mergeCell ref="G4:L4"/>
    <mergeCell ref="M4:N4"/>
    <mergeCell ref="O4:P4"/>
    <mergeCell ref="B30:C30"/>
    <mergeCell ref="B33:F33"/>
    <mergeCell ref="B34:F34"/>
    <mergeCell ref="B35:F35"/>
    <mergeCell ref="B36:F36"/>
    <mergeCell ref="B37:F37"/>
  </mergeCells>
  <conditionalFormatting sqref="M6:M30">
    <cfRule type="expression" priority="2" aboveAverage="0" equalAverage="0" bottom="0" percent="0" rank="0" text="" dxfId="0">
      <formula>M6&lt;0</formula>
    </cfRule>
  </conditionalFormatting>
  <conditionalFormatting sqref="N6:N30">
    <cfRule type="expression" priority="3" aboveAverage="0" equalAverage="0" bottom="0" percent="0" rank="0" text="" dxfId="0">
      <formula>N6&lt;0</formula>
    </cfRule>
  </conditionalFormatting>
  <conditionalFormatting sqref="G33:G34">
    <cfRule type="expression" priority="4" aboveAverage="0" equalAverage="0" bottom="0" percent="0" rank="0" text="" dxfId="0">
      <formula>G33&lt;0</formula>
    </cfRule>
  </conditionalFormatting>
  <hyperlinks>
    <hyperlink ref="B1" r:id="rId1" location="'Comece%20Aqui'!A1" display="⌂  Início"/>
    <hyperlink ref="C1" r:id="rId2" location="'Dashboard'!A1" display="▦ 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5C66"/>
    <pageSetUpPr fitToPage="true"/>
  </sheetPr>
  <dimension ref="A1:R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12" min="3" style="0" width="14"/>
  </cols>
  <sheetData>
    <row r="1" customFormat="false" ht="24" hidden="false" customHeight="true" outlineLevel="0" collapsed="false">
      <c r="A1" s="1"/>
      <c r="B1" s="6" t="s">
        <v>26</v>
      </c>
      <c r="C1" s="6" t="s">
        <v>56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42" hidden="false" customHeight="true" outlineLevel="0" collapsed="false">
      <c r="A2" s="1"/>
      <c r="B2" s="2" t="str">
        <f aca="false">"UNIT ECONOMICS  ·  CENÁRIO "&amp;UPPER(Premissas!$C$9)</f>
        <v>UNIT ECONOMICS  ·  CENÁRIO REALISTA</v>
      </c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A3" s="1"/>
      <c r="B3" s="10" t="s">
        <v>209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15" hidden="false" customHeight="false" outlineLevel="0" collapsed="false">
      <c r="A5" s="1"/>
      <c r="B5" s="13" t="s">
        <v>210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customFormat="false" ht="15" hidden="false" customHeight="false" outlineLevel="0" collapsed="false">
      <c r="A6" s="1"/>
      <c r="B6" s="41" t="s">
        <v>211</v>
      </c>
      <c r="C6" s="40" t="n">
        <f aca="false">'Projeção 24 meses'!$U$30+'Projeção 24 meses'!$V$30</f>
        <v>54432.1855196276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customFormat="false" ht="15" hidden="false" customHeight="false" outlineLevel="0" collapsed="false">
      <c r="A7" s="1"/>
      <c r="B7" s="41" t="s">
        <v>212</v>
      </c>
      <c r="C7" s="54" t="n">
        <f aca="false">'Projeção 24 meses'!$D$30</f>
        <v>465.413366101244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customFormat="false" ht="15" hidden="false" customHeight="false" outlineLevel="0" collapsed="false">
      <c r="A8" s="1"/>
      <c r="B8" s="38" t="s">
        <v>213</v>
      </c>
      <c r="C8" s="56" t="n">
        <f aca="false">IFERROR(C6/C7,0)</f>
        <v>116.954495689724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customFormat="false" ht="15" hidden="false" customHeight="false" outlineLevel="0" collapsed="false">
      <c r="A9" s="1"/>
      <c r="B9" s="41" t="s">
        <v>214</v>
      </c>
      <c r="C9" s="40" t="n">
        <f aca="false">'Projeção 24 meses'!$Z$6</f>
        <v>193.5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customFormat="false" ht="15" hidden="false" customHeight="false" outlineLevel="0" collapsed="false">
      <c r="A10" s="1"/>
      <c r="B10" s="41" t="s">
        <v>215</v>
      </c>
      <c r="C10" s="40" t="n">
        <f aca="false">'Projeção 24 meses'!$Z$29</f>
        <v>84.0603606626827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customFormat="false" ht="15" hidden="false" customHeight="false" outlineLevel="0" collapsed="false">
      <c r="A12" s="1"/>
      <c r="B12" s="13" t="s">
        <v>216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customFormat="false" ht="42" hidden="false" customHeight="true" outlineLevel="0" collapsed="false">
      <c r="A13" s="1"/>
      <c r="B13" s="37" t="s">
        <v>217</v>
      </c>
      <c r="C13" s="37" t="s">
        <v>218</v>
      </c>
      <c r="D13" s="37" t="s">
        <v>219</v>
      </c>
      <c r="E13" s="37" t="s">
        <v>220</v>
      </c>
      <c r="F13" s="37" t="s">
        <v>221</v>
      </c>
      <c r="G13" s="37" t="s">
        <v>222</v>
      </c>
      <c r="H13" s="37" t="s">
        <v>223</v>
      </c>
      <c r="I13" s="37" t="s">
        <v>224</v>
      </c>
      <c r="J13" s="37" t="s">
        <v>225</v>
      </c>
      <c r="K13" s="37" t="s">
        <v>34</v>
      </c>
      <c r="L13" s="37" t="s">
        <v>35</v>
      </c>
      <c r="M13" s="1"/>
      <c r="N13" s="1"/>
      <c r="O13" s="1"/>
      <c r="P13" s="1"/>
      <c r="Q13" s="1"/>
      <c r="R13" s="1"/>
    </row>
    <row r="14" customFormat="false" ht="15" hidden="false" customHeight="false" outlineLevel="0" collapsed="false">
      <c r="A14" s="1"/>
      <c r="B14" s="41" t="s">
        <v>226</v>
      </c>
      <c r="C14" s="57" t="n">
        <f aca="false">(1-Premissas!$F$23)*(1-Premissas!$F$24)</f>
        <v>0.6</v>
      </c>
      <c r="D14" s="40" t="n">
        <f aca="false">Premissas!$C$13</f>
        <v>57.9</v>
      </c>
      <c r="E14" s="40" t="n">
        <f aca="false">D14*(Premissas!$C$30+Premissas!$C$28)+1*Premissas!$C$29+Premissas!$C$31</f>
        <v>6.4905</v>
      </c>
      <c r="F14" s="40" t="n">
        <f aca="false">D14-E14</f>
        <v>51.4095</v>
      </c>
      <c r="G14" s="57" t="n">
        <f aca="false">IFERROR(F14/D14,0)</f>
        <v>0.887901554404145</v>
      </c>
      <c r="H14" s="57" t="n">
        <f aca="false">Premissas!$F$21</f>
        <v>0.05</v>
      </c>
      <c r="I14" s="66" t="n">
        <f aca="false">IFERROR(1/H14,0)</f>
        <v>20</v>
      </c>
      <c r="J14" s="40" t="n">
        <f aca="false">IFERROR(D14*G14/H14,0)</f>
        <v>1028.19</v>
      </c>
      <c r="K14" s="67" t="n">
        <f aca="false">IFERROR(J14/$C$8,0)</f>
        <v>8.79136790711966</v>
      </c>
      <c r="L14" s="66" t="n">
        <f aca="false">IFERROR($C$8/F14,0)</f>
        <v>2.27495882453094</v>
      </c>
      <c r="M14" s="1"/>
      <c r="N14" s="1"/>
      <c r="O14" s="1"/>
      <c r="P14" s="1"/>
      <c r="Q14" s="1"/>
      <c r="R14" s="1"/>
    </row>
    <row r="15" customFormat="false" ht="15" hidden="false" customHeight="false" outlineLevel="0" collapsed="false">
      <c r="A15" s="1"/>
      <c r="B15" s="41" t="s">
        <v>227</v>
      </c>
      <c r="C15" s="57" t="n">
        <f aca="false">(1-Premissas!$F$23)*Premissas!$F$24</f>
        <v>0.15</v>
      </c>
      <c r="D15" s="40" t="n">
        <f aca="false">Premissas!$F$13/12</f>
        <v>49.215</v>
      </c>
      <c r="E15" s="40" t="n">
        <f aca="false">D15*(Premissas!$C$30+Premissas!$C$28)+1/12*Premissas!$C$29+Premissas!$C$31</f>
        <v>5.21625833333333</v>
      </c>
      <c r="F15" s="40" t="n">
        <f aca="false">D15-E15</f>
        <v>43.9987416666667</v>
      </c>
      <c r="G15" s="57" t="n">
        <f aca="false">IFERROR(F15/D15,0)</f>
        <v>0.894010802939483</v>
      </c>
      <c r="H15" s="57" t="n">
        <f aca="false">(1-Premissas!$F$22)/12</f>
        <v>0.0291666666666667</v>
      </c>
      <c r="I15" s="66" t="n">
        <f aca="false">IFERROR(1/H15,0)</f>
        <v>34.2857142857143</v>
      </c>
      <c r="J15" s="40" t="n">
        <f aca="false">IFERROR(D15*G15/H15,0)</f>
        <v>1508.52828571429</v>
      </c>
      <c r="K15" s="67" t="n">
        <f aca="false">IFERROR(J15/$C$8,0)</f>
        <v>12.8984206790679</v>
      </c>
      <c r="L15" s="66" t="n">
        <f aca="false">IFERROR($C$8/F15,0)</f>
        <v>2.65813273878985</v>
      </c>
      <c r="M15" s="1"/>
      <c r="N15" s="1"/>
      <c r="O15" s="1"/>
      <c r="P15" s="1"/>
      <c r="Q15" s="1"/>
      <c r="R15" s="1"/>
    </row>
    <row r="16" customFormat="false" ht="15" hidden="false" customHeight="false" outlineLevel="0" collapsed="false">
      <c r="A16" s="1"/>
      <c r="B16" s="41" t="s">
        <v>228</v>
      </c>
      <c r="C16" s="57" t="n">
        <f aca="false">Premissas!$F$23*(1-Premissas!$F$24)</f>
        <v>0.2</v>
      </c>
      <c r="D16" s="40" t="n">
        <f aca="false">Premissas!$C$14</f>
        <v>87.9</v>
      </c>
      <c r="E16" s="40" t="n">
        <f aca="false">D16*(Premissas!$C$30+Premissas!$C$28)+1*Premissas!$C$29+Premissas!$C$31</f>
        <v>9.3405</v>
      </c>
      <c r="F16" s="40" t="n">
        <f aca="false">D16-E16</f>
        <v>78.5595</v>
      </c>
      <c r="G16" s="57" t="n">
        <f aca="false">IFERROR(F16/D16,0)</f>
        <v>0.893737201365188</v>
      </c>
      <c r="H16" s="57" t="n">
        <f aca="false">Premissas!$F$21</f>
        <v>0.05</v>
      </c>
      <c r="I16" s="66" t="n">
        <f aca="false">IFERROR(1/H16,0)</f>
        <v>20</v>
      </c>
      <c r="J16" s="40" t="n">
        <f aca="false">IFERROR(D16*G16/H16,0)</f>
        <v>1571.19</v>
      </c>
      <c r="K16" s="67" t="n">
        <f aca="false">IFERROR(J16/$C$8,0)</f>
        <v>13.434199264715</v>
      </c>
      <c r="L16" s="66" t="n">
        <f aca="false">IFERROR($C$8/F16,0)</f>
        <v>1.48873778078684</v>
      </c>
      <c r="M16" s="1"/>
      <c r="N16" s="1"/>
      <c r="O16" s="1"/>
      <c r="P16" s="1"/>
      <c r="Q16" s="1"/>
      <c r="R16" s="1"/>
    </row>
    <row r="17" customFormat="false" ht="15" hidden="false" customHeight="false" outlineLevel="0" collapsed="false">
      <c r="A17" s="1"/>
      <c r="B17" s="41" t="s">
        <v>229</v>
      </c>
      <c r="C17" s="57" t="n">
        <f aca="false">Premissas!$F$23*Premissas!$F$24</f>
        <v>0.05</v>
      </c>
      <c r="D17" s="40" t="n">
        <f aca="false">Premissas!$F$14/12</f>
        <v>70.32</v>
      </c>
      <c r="E17" s="40" t="n">
        <f aca="false">D17*(Premissas!$C$30+Premissas!$C$28)+1/12*Premissas!$C$29+Premissas!$C$31</f>
        <v>7.22123333333333</v>
      </c>
      <c r="F17" s="40" t="n">
        <f aca="false">D17-E17</f>
        <v>63.0987666666667</v>
      </c>
      <c r="G17" s="57" t="n">
        <f aca="false">IFERROR(F17/D17,0)</f>
        <v>0.897308968524839</v>
      </c>
      <c r="H17" s="57" t="n">
        <f aca="false">(1-Premissas!$F$22)/12</f>
        <v>0.0291666666666667</v>
      </c>
      <c r="I17" s="66" t="n">
        <f aca="false">IFERROR(1/H17,0)</f>
        <v>34.2857142857143</v>
      </c>
      <c r="J17" s="40" t="n">
        <f aca="false">IFERROR(D17*G17/H17,0)</f>
        <v>2163.38628571429</v>
      </c>
      <c r="K17" s="67" t="n">
        <f aca="false">IFERROR(J17/$C$8,0)</f>
        <v>18.4976752963279</v>
      </c>
      <c r="L17" s="66" t="n">
        <f aca="false">IFERROR($C$8/F17,0)</f>
        <v>1.85351476531327</v>
      </c>
      <c r="M17" s="1"/>
      <c r="N17" s="1"/>
      <c r="O17" s="1"/>
      <c r="P17" s="1"/>
      <c r="Q17" s="1"/>
      <c r="R17" s="1"/>
    </row>
    <row r="18" customFormat="false" ht="15" hidden="false" customHeight="false" outlineLevel="0" collapsed="false">
      <c r="A18" s="1"/>
      <c r="B18" s="46" t="s">
        <v>230</v>
      </c>
      <c r="C18" s="68" t="n">
        <f aca="false">SUM(C14:C17)</f>
        <v>1</v>
      </c>
      <c r="D18" s="47" t="n">
        <f aca="false">SUMPRODUCT($C$14:$C$17,D14:D17)</f>
        <v>63.21825</v>
      </c>
      <c r="E18" s="47" t="n">
        <f aca="false">SUMPRODUCT($C$14:$C$17,E14:E17)</f>
        <v>6.90590041666667</v>
      </c>
      <c r="F18" s="47" t="n">
        <f aca="false">SUMPRODUCT($C$14:$C$17,F14:F17)</f>
        <v>56.3123495833333</v>
      </c>
      <c r="G18" s="68" t="n">
        <f aca="false">IFERROR(F18/D18,0)</f>
        <v>0.890760968285793</v>
      </c>
      <c r="H18" s="68" t="n">
        <f aca="false">SUMPRODUCT($C$14:$C$17,H14:H17)</f>
        <v>0.0458333333333333</v>
      </c>
      <c r="I18" s="69" t="n">
        <f aca="false">IFERROR(1/H18,0)</f>
        <v>21.8181818181818</v>
      </c>
      <c r="J18" s="47" t="n">
        <f aca="false">IFERROR(D18*G18/H18,0)</f>
        <v>1228.63308181818</v>
      </c>
      <c r="K18" s="70" t="n">
        <f aca="false">IFERROR(J18/$C$8,0)</f>
        <v>10.5052232030285</v>
      </c>
      <c r="L18" s="69" t="n">
        <f aca="false">IFERROR($C$8/F18,0)</f>
        <v>2.07688893386786</v>
      </c>
      <c r="M18" s="1"/>
      <c r="N18" s="1"/>
      <c r="O18" s="1"/>
      <c r="P18" s="1"/>
      <c r="Q18" s="1"/>
      <c r="R18" s="1"/>
    </row>
    <row r="19" customFormat="false" ht="15" hidden="false" customHeight="false" outlineLevel="0" collapsed="false">
      <c r="A19" s="1"/>
      <c r="B19" s="71" t="str">
        <f aca="false">IF(K18&gt;=3,"✔ Saudável: cada cliente devolve 3x ou mais o que custou para conquistar.",IF(K18&gt;=1,"⚠ Atenção: LTV/CAC entre 1x e 3x — o cliente se paga, mas sobra pouco.","✖ Cada cliente custa mais do que devolve. Reveja CAC, preço ou churn."))</f>
        <v>✔ Saudável: cada cliente devolve 3x ou mais o que custou para conquistar.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customFormat="false" ht="15" hidden="false" customHeight="false" outlineLevel="0" collapsed="false">
      <c r="A20" s="1"/>
      <c r="B20" s="10" t="s">
        <v>231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customFormat="false" ht="15" hidden="false" customHeight="false" outlineLevel="0" collapsed="false">
      <c r="A22" s="1"/>
      <c r="B22" s="13" t="s">
        <v>232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Format="false" ht="15" hidden="false" customHeight="false" outlineLevel="0" collapsed="false">
      <c r="A23" s="1"/>
      <c r="B23" s="41" t="s">
        <v>233</v>
      </c>
      <c r="C23" s="56" t="n">
        <f aca="false">IFERROR('Projeção 24 meses'!$L$30/SUM('Projeção 24 meses'!$G$6:$G$29),0)</f>
        <v>62.7933014802634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Format="false" ht="15" hidden="false" customHeight="false" outlineLevel="0" collapsed="false">
      <c r="A24" s="1"/>
      <c r="B24" s="41" t="s">
        <v>234</v>
      </c>
      <c r="C24" s="72" t="n">
        <f aca="false">IFERROR('Projeção 24 meses'!$R$30/'Projeção 24 meses'!$L$30,0)</f>
        <v>0.890843781032831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15" hidden="false" customHeight="false" outlineLevel="0" collapsed="false">
      <c r="A25" s="1"/>
      <c r="B25" s="41" t="s">
        <v>235</v>
      </c>
      <c r="C25" s="72" t="n">
        <f aca="false">IFERROR('Projeção 24 meses'!$F$30/(SUM('Projeção 24 meses'!$G$6:$G$29)-'Projeção 24 meses'!$G$29),0)</f>
        <v>0.0413402169286978</v>
      </c>
      <c r="D25" s="10" t="s">
        <v>236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15" hidden="false" customHeight="false" outlineLevel="0" collapsed="false">
      <c r="A26" s="1"/>
      <c r="B26" s="41" t="s">
        <v>237</v>
      </c>
      <c r="C26" s="56" t="n">
        <f aca="false">IFERROR(C23*C24/C25,0)</f>
        <v>1353.13808852755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15" hidden="false" customHeight="false" outlineLevel="0" collapsed="false">
      <c r="A27" s="1"/>
      <c r="B27" s="41" t="s">
        <v>34</v>
      </c>
      <c r="C27" s="73" t="n">
        <f aca="false">IFERROR(C26/$C$8,0)</f>
        <v>11.5697825940559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15" hidden="false" customHeight="false" outlineLevel="0" collapsed="false">
      <c r="A28" s="1"/>
      <c r="B28" s="41" t="s">
        <v>238</v>
      </c>
      <c r="C28" s="74" t="n">
        <f aca="false">IFERROR($C$8/(C23*C24),0)</f>
        <v>2.09074973550546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Format="false" ht="15" hidden="false" customHeight="false" outlineLevel="0" collapsed="false">
      <c r="A30" s="1"/>
      <c r="B30" s="13" t="s">
        <v>239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customFormat="false" ht="15" hidden="false" customHeight="false" outlineLevel="0" collapsed="false">
      <c r="A31" s="1"/>
      <c r="B31" s="41" t="s">
        <v>240</v>
      </c>
      <c r="C31" s="64" t="n">
        <f aca="false">F18</f>
        <v>56.3123495833333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5" hidden="false" customHeight="false" outlineLevel="0" collapsed="false">
      <c r="A32" s="1"/>
      <c r="B32" s="41" t="s">
        <v>241</v>
      </c>
      <c r="C32" s="64" t="n">
        <f aca="false">'Projeção 24 meses'!$T$29</f>
        <v>3395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Format="false" ht="15" hidden="false" customHeight="false" outlineLevel="0" collapsed="false">
      <c r="A33" s="1"/>
      <c r="B33" s="38" t="s">
        <v>242</v>
      </c>
      <c r="C33" s="75" t="n">
        <f aca="false">IFERROR(ROUNDUP(C32/C31,0),0)</f>
        <v>61</v>
      </c>
      <c r="D33" s="10" t="s">
        <v>243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Format="false" ht="15" hidden="false" customHeight="false" outlineLevel="0" collapsed="false">
      <c r="A34" s="1"/>
      <c r="B34" s="41" t="s">
        <v>244</v>
      </c>
      <c r="C34" s="75" t="n">
        <f aca="false">IFERROR(ROUNDUP((C32+'Projeção 24 meses'!$U$29+'Projeção 24 meses'!$V$29)/C31,0),0)</f>
        <v>117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5" hidden="false" customHeight="false" outlineLevel="0" collapsed="false">
      <c r="A35" s="1"/>
      <c r="B35" s="41" t="s">
        <v>245</v>
      </c>
      <c r="C35" s="75" t="n">
        <f aca="false">'Projeção 24 meses'!$G$29</f>
        <v>338.018630057741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Format="false" ht="15" hidden="false" customHeight="false" outlineLevel="0" collapsed="false">
      <c r="A36" s="1"/>
      <c r="B36" s="41" t="s">
        <v>246</v>
      </c>
      <c r="C36" s="65" t="n">
        <f aca="false">IF(COUNT('Projeção 24 meses'!$AK$6:$AK$29)=0,"Não atinge em 24 meses",INDEX('Projeção 24 meses'!$C$6:$C$29,MIN('Projeção 24 meses'!$AK$6:$AK$29)))</f>
        <v>46600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</sheetData>
  <mergeCells count="1">
    <mergeCell ref="B2:L2"/>
  </mergeCells>
  <conditionalFormatting sqref="B19">
    <cfRule type="expression" priority="2" aboveAverage="0" equalAverage="0" bottom="0" percent="0" rank="0" text="" dxfId="1">
      <formula>$K$18&gt;=3</formula>
    </cfRule>
    <cfRule type="expression" priority="3" aboveAverage="0" equalAverage="0" bottom="0" percent="0" rank="0" text="" dxfId="0">
      <formula>$K$18&lt;1</formula>
    </cfRule>
  </conditionalFormatting>
  <conditionalFormatting sqref="C35">
    <cfRule type="expression" priority="4" aboveAverage="0" equalAverage="0" bottom="0" percent="0" rank="0" text="" dxfId="1">
      <formula>C35&gt;=C33</formula>
    </cfRule>
    <cfRule type="expression" priority="5" aboveAverage="0" equalAverage="0" bottom="0" percent="0" rank="0" text="" dxfId="0">
      <formula>C35&lt;C33</formula>
    </cfRule>
  </conditionalFormatting>
  <hyperlinks>
    <hyperlink ref="B1" r:id="rId1" location="'Comece%20Aqui'!A1" display="⌂  Início"/>
    <hyperlink ref="C1" r:id="rId2" location="'Dashboard'!A1" display="▦ 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171C"/>
    <pageSetUpPr fitToPage="true"/>
  </sheetPr>
  <dimension ref="A1:S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5" min="3" style="0" width="16"/>
    <col collapsed="false" customWidth="true" hidden="false" outlineLevel="0" max="13" min="6" style="0" width="11"/>
  </cols>
  <sheetData>
    <row r="1" customFormat="false" ht="24" hidden="false" customHeight="true" outlineLevel="0" collapsed="false">
      <c r="A1" s="1"/>
      <c r="B1" s="6" t="s">
        <v>26</v>
      </c>
      <c r="C1" s="6" t="s">
        <v>56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42" hidden="false" customHeight="true" outlineLevel="0" collapsed="false">
      <c r="A2" s="1"/>
      <c r="B2" s="2" t="s">
        <v>247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</row>
    <row r="3" customFormat="false" ht="15" hidden="false" customHeight="false" outlineLevel="0" collapsed="false">
      <c r="A3" s="1"/>
      <c r="B3" s="10" t="s">
        <v>248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customFormat="false" ht="24" hidden="false" customHeight="true" outlineLevel="0" collapsed="false">
      <c r="A5" s="1"/>
      <c r="B5" s="37" t="s">
        <v>249</v>
      </c>
      <c r="C5" s="37" t="s">
        <v>83</v>
      </c>
      <c r="D5" s="37" t="s">
        <v>84</v>
      </c>
      <c r="E5" s="37" t="s">
        <v>85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customFormat="false" ht="15" hidden="false" customHeight="false" outlineLevel="0" collapsed="false">
      <c r="A6" s="1"/>
      <c r="B6" s="41" t="s">
        <v>250</v>
      </c>
      <c r="C6" s="76" t="n">
        <f aca="false">'Motor Cenários'!$G$17</f>
        <v>40.3053590708764</v>
      </c>
      <c r="D6" s="75" t="n">
        <f aca="false">'Motor Cenários'!$BD$17</f>
        <v>119.919202102627</v>
      </c>
      <c r="E6" s="76" t="n">
        <f aca="false">'Motor Cenários'!$DA$17</f>
        <v>332.748453929119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customFormat="false" ht="15" hidden="false" customHeight="false" outlineLevel="0" collapsed="false">
      <c r="A7" s="1"/>
      <c r="B7" s="41" t="s">
        <v>251</v>
      </c>
      <c r="C7" s="76" t="n">
        <f aca="false">'Motor Cenários'!$G$29</f>
        <v>73.0359632816233</v>
      </c>
      <c r="D7" s="75" t="n">
        <f aca="false">'Motor Cenários'!$BD$29</f>
        <v>338.018630057741</v>
      </c>
      <c r="E7" s="76" t="n">
        <f aca="false">'Motor Cenários'!$DA$29</f>
        <v>1538.78358498109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customFormat="false" ht="15" hidden="false" customHeight="false" outlineLevel="0" collapsed="false">
      <c r="A8" s="1"/>
      <c r="B8" s="41" t="s">
        <v>252</v>
      </c>
      <c r="C8" s="77" t="n">
        <f aca="false">'Motor Cenários'!$L$17</f>
        <v>2458.1770091489</v>
      </c>
      <c r="D8" s="78" t="n">
        <f aca="false">'Motor Cenários'!$BI$17</f>
        <v>7530.49078903005</v>
      </c>
      <c r="E8" s="77" t="n">
        <f aca="false">'Motor Cenários'!$DF$17</f>
        <v>21478.7149204742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customFormat="false" ht="15" hidden="false" customHeight="false" outlineLevel="0" collapsed="false">
      <c r="A9" s="1"/>
      <c r="B9" s="38" t="s">
        <v>253</v>
      </c>
      <c r="C9" s="77" t="n">
        <f aca="false">'Motor Cenários'!$L$29</f>
        <v>4447.91184252814</v>
      </c>
      <c r="D9" s="78" t="n">
        <f aca="false">'Motor Cenários'!$BI$29</f>
        <v>21200.2815542535</v>
      </c>
      <c r="E9" s="77" t="n">
        <f aca="false">'Motor Cenários'!$DF$29</f>
        <v>99235.9402473683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customFormat="false" ht="15" hidden="false" customHeight="false" outlineLevel="0" collapsed="false">
      <c r="A10" s="1"/>
      <c r="B10" s="41" t="s">
        <v>254</v>
      </c>
      <c r="C10" s="77" t="n">
        <f aca="false">'Motor Cenários'!$M$29</f>
        <v>53374.9421103377</v>
      </c>
      <c r="D10" s="78" t="n">
        <f aca="false">'Motor Cenários'!$BJ$29</f>
        <v>254403.378651042</v>
      </c>
      <c r="E10" s="77" t="n">
        <f aca="false">'Motor Cenários'!$DG$29</f>
        <v>1190831.28296842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customFormat="false" ht="15" hidden="false" customHeight="false" outlineLevel="0" collapsed="false">
      <c r="A11" s="1"/>
      <c r="B11" s="41" t="s">
        <v>255</v>
      </c>
      <c r="C11" s="79" t="n">
        <f aca="false">'Motor Cenários'!$N$29</f>
        <v>60.9002968219533</v>
      </c>
      <c r="D11" s="64" t="n">
        <f aca="false">'Motor Cenários'!$BK$29</f>
        <v>62.7192694989386</v>
      </c>
      <c r="E11" s="79" t="n">
        <f aca="false">'Motor Cenários'!$DH$29</f>
        <v>64.4898614827556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customFormat="false" ht="15" hidden="false" customHeight="false" outlineLevel="0" collapsed="false">
      <c r="A12" s="1"/>
      <c r="B12" s="38" t="s">
        <v>256</v>
      </c>
      <c r="C12" s="77" t="n">
        <f aca="false">'Motor Cenários'!$X$29</f>
        <v>-2444.85693772812</v>
      </c>
      <c r="D12" s="78" t="n">
        <f aca="false">'Motor Cenários'!$BU$29</f>
        <v>12304.6038736112</v>
      </c>
      <c r="E12" s="77" t="n">
        <f aca="false">'Motor Cenários'!$DR$29</f>
        <v>80923.9096613776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customFormat="false" ht="15" hidden="false" customHeight="false" outlineLevel="0" collapsed="false">
      <c r="A13" s="1"/>
      <c r="B13" s="41" t="s">
        <v>257</v>
      </c>
      <c r="C13" s="77" t="n">
        <f aca="false">'Motor Cenários'!$Y$29</f>
        <v>-74078.7540802445</v>
      </c>
      <c r="D13" s="78" t="n">
        <f aca="false">'Motor Cenários'!$BV$29</f>
        <v>62578.9157205643</v>
      </c>
      <c r="E13" s="77" t="n">
        <f aca="false">'Motor Cenários'!$DS$29</f>
        <v>556251.741812946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customFormat="false" ht="15" hidden="false" customHeight="false" outlineLevel="0" collapsed="false">
      <c r="A14" s="1"/>
      <c r="B14" s="41" t="s">
        <v>204</v>
      </c>
      <c r="C14" s="77" t="n">
        <f aca="false">'Motor Cenários'!$AU$29</f>
        <v>-71046.2986624786</v>
      </c>
      <c r="D14" s="78" t="n">
        <f aca="false">'Motor Cenários'!$CR$29</f>
        <v>88375.4409384787</v>
      </c>
      <c r="E14" s="77" t="n">
        <f aca="false">'Motor Cenários'!$EO$29</f>
        <v>734161.512032337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customFormat="false" ht="15" hidden="false" customHeight="false" outlineLevel="0" collapsed="false">
      <c r="A15" s="1"/>
      <c r="B15" s="41" t="s">
        <v>258</v>
      </c>
      <c r="C15" s="77" t="n">
        <f aca="false">MIN('Motor Cenários'!$AU$6:$AU$29)</f>
        <v>-71046.2986624786</v>
      </c>
      <c r="D15" s="78" t="n">
        <f aca="false">MIN('Motor Cenários'!$CR$6:$CR$29)</f>
        <v>-9905.45448501427</v>
      </c>
      <c r="E15" s="77" t="n">
        <f aca="false">MIN('Motor Cenários'!$EO$6:$EO$29)</f>
        <v>-383.7514775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customFormat="false" ht="15" hidden="false" customHeight="false" outlineLevel="0" collapsed="false">
      <c r="A16" s="1"/>
      <c r="B16" s="41" t="s">
        <v>259</v>
      </c>
      <c r="C16" s="80" t="str">
        <f aca="false">IF(COUNT('Motor Cenários'!$AJ$6:$AJ$29)=0,"Não atinge",INDEX('Motor Cenários'!$C$6:$C$29,MIN('Motor Cenários'!$AJ$6:$AJ$29)))</f>
        <v>Não atinge</v>
      </c>
      <c r="D16" s="65" t="n">
        <f aca="false">IF(COUNT('Motor Cenários'!$CG$6:$CG$29)=0,"Não atinge",INDEX('Motor Cenários'!$AZ$6:$AZ$29,MIN('Motor Cenários'!$CG$6:$CG$29)))</f>
        <v>46600</v>
      </c>
      <c r="E16" s="80" t="n">
        <f aca="false">IF(COUNT('Motor Cenários'!$ED$6:$ED$29)=0,"Não atinge",INDEX('Motor Cenários'!$CW$6:$CW$29,MIN('Motor Cenários'!$ED$6:$ED$29)))</f>
        <v>46388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customFormat="false" ht="15" hidden="false" customHeight="false" outlineLevel="0" collapsed="false">
      <c r="A17" s="1"/>
      <c r="B17" s="41" t="s">
        <v>260</v>
      </c>
      <c r="C17" s="79" t="n">
        <f aca="false">IFERROR(('Motor Cenários'!$U$30+'Motor Cenários'!$V$30)/'Motor Cenários'!$D$30,0)</f>
        <v>381</v>
      </c>
      <c r="D17" s="64" t="n">
        <f aca="false">IFERROR(('Motor Cenários'!$BR$30+'Motor Cenários'!$BS$30)/'Motor Cenários'!$BA$30,0)</f>
        <v>116.954495689724</v>
      </c>
      <c r="E17" s="79" t="n">
        <f aca="false">IFERROR(('Motor Cenários'!$DO$30+'Motor Cenários'!$DP$30)/'Motor Cenários'!$CX$30,0)</f>
        <v>35.1366425126534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customFormat="false" ht="15" hidden="false" customHeight="false" outlineLevel="0" collapsed="false">
      <c r="A18" s="1"/>
      <c r="B18" s="41" t="s">
        <v>261</v>
      </c>
      <c r="C18" s="79" t="n">
        <f aca="false">IFERROR('Motor Cenários'!$R$29/'Motor Cenários'!$G$29/(Premissas!$C$21*(1-Premissas!$C$24)+(1-Premissas!$C$22)/12*Premissas!$C$24),0)</f>
        <v>711.478676388997</v>
      </c>
      <c r="D18" s="64" t="n">
        <f aca="false">IFERROR('Motor Cenários'!$BO$29/'Motor Cenários'!$BD$29/(Premissas!$D$21*(1-Premissas!$D$24)+(1-Premissas!$D$22)/12*Premissas!$D$24),0)</f>
        <v>1219.13855267773</v>
      </c>
      <c r="E18" s="79" t="n">
        <f aca="false">IFERROR('Motor Cenários'!$DL$29/'Motor Cenários'!$DA$29/(Premissas!$E$21*(1-Premissas!$E$24)+(1-Premissas!$E$22)/12*Premissas!$E$24),0)</f>
        <v>2212.01197605057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customFormat="false" ht="15" hidden="false" customHeight="false" outlineLevel="0" collapsed="false">
      <c r="A19" s="1"/>
      <c r="B19" s="38" t="s">
        <v>34</v>
      </c>
      <c r="C19" s="81" t="n">
        <f aca="false">IFERROR(C18/C17,0)</f>
        <v>1.86739810075852</v>
      </c>
      <c r="D19" s="82" t="n">
        <f aca="false">IFERROR(D18/D17,0)</f>
        <v>10.424041807782</v>
      </c>
      <c r="E19" s="81" t="n">
        <f aca="false">IFERROR(E18/E17,0)</f>
        <v>62.9545630392538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customFormat="false" ht="15" hidden="false" customHeight="false" outlineLevel="0" collapsed="false">
      <c r="A20" s="1"/>
      <c r="B20" s="10" t="s">
        <v>262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customFormat="false" ht="15" hidden="false" customHeight="false" outlineLevel="0" collapsed="false">
      <c r="A21" s="1"/>
      <c r="B21" s="10" t="str">
        <f aca="false">IF(ABS(INDEX(C9:E9,MATCH(Premissas!$C$9,$C$5:$E$5,0))-'Projeção 24 meses'!$L$29)&lt;0.01,"✔ Conferência: o cenário em uso bate com a aba Projeção 24 meses.","✖ Conferência: diferença entre Motor e Projeção.")</f>
        <v>✔ Conferência: o cenário em uso bate com a aba Projeção 24 meses.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customFormat="false" ht="15" hidden="false" customHeight="false" outlineLevel="0" collapsed="false">
      <c r="A54" s="1"/>
      <c r="B54" s="13" t="s">
        <v>263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customFormat="false" ht="30" hidden="false" customHeight="true" outlineLevel="0" collapsed="false">
      <c r="A55" s="1"/>
      <c r="B55" s="37" t="s">
        <v>154</v>
      </c>
      <c r="C55" s="37" t="s">
        <v>264</v>
      </c>
      <c r="D55" s="37" t="s">
        <v>265</v>
      </c>
      <c r="E55" s="37" t="s">
        <v>266</v>
      </c>
      <c r="F55" s="37" t="s">
        <v>267</v>
      </c>
      <c r="G55" s="37" t="s">
        <v>268</v>
      </c>
      <c r="H55" s="37" t="s">
        <v>269</v>
      </c>
      <c r="I55" s="37" t="s">
        <v>270</v>
      </c>
      <c r="J55" s="37" t="s">
        <v>271</v>
      </c>
      <c r="K55" s="37" t="s">
        <v>272</v>
      </c>
      <c r="L55" s="1"/>
      <c r="M55" s="1"/>
      <c r="N55" s="1"/>
      <c r="O55" s="1"/>
      <c r="P55" s="1"/>
      <c r="Q55" s="1"/>
      <c r="R55" s="1"/>
      <c r="S55" s="1"/>
    </row>
    <row r="56" customFormat="false" ht="15" hidden="false" customHeight="false" outlineLevel="0" collapsed="false">
      <c r="A56" s="1"/>
      <c r="B56" s="83" t="n">
        <f aca="false">'Motor Cenários'!$AZ$6</f>
        <v>46296</v>
      </c>
      <c r="C56" s="84" t="n">
        <f aca="false">'Motor Cenários'!$L$6</f>
        <v>245.5923</v>
      </c>
      <c r="D56" s="84" t="n">
        <f aca="false">'Motor Cenários'!$BI$6</f>
        <v>505.746</v>
      </c>
      <c r="E56" s="84" t="n">
        <f aca="false">'Motor Cenários'!$DF$6</f>
        <v>972.907875</v>
      </c>
      <c r="F56" s="85" t="n">
        <f aca="false">'Motor Cenários'!$G$6</f>
        <v>4</v>
      </c>
      <c r="G56" s="85" t="n">
        <f aca="false">'Motor Cenários'!$BD$6</f>
        <v>8</v>
      </c>
      <c r="H56" s="85" t="n">
        <f aca="false">'Motor Cenários'!$DA$6</f>
        <v>15</v>
      </c>
      <c r="I56" s="84" t="n">
        <f aca="false">'Motor Cenários'!$AU$6</f>
        <v>-3292.118822</v>
      </c>
      <c r="J56" s="84" t="n">
        <f aca="false">'Motor Cenários'!$CR$6</f>
        <v>-2425.28324</v>
      </c>
      <c r="K56" s="84" t="n">
        <f aca="false">'Motor Cenários'!$EO$6</f>
        <v>-383.7514775</v>
      </c>
      <c r="L56" s="1"/>
      <c r="M56" s="1"/>
      <c r="N56" s="1"/>
      <c r="O56" s="1"/>
      <c r="P56" s="1"/>
      <c r="Q56" s="1"/>
      <c r="R56" s="1"/>
      <c r="S56" s="1"/>
    </row>
    <row r="57" customFormat="false" ht="15" hidden="false" customHeight="false" outlineLevel="0" collapsed="false">
      <c r="A57" s="1"/>
      <c r="B57" s="83" t="n">
        <f aca="false">'Motor Cenários'!$AZ$7</f>
        <v>46327</v>
      </c>
      <c r="C57" s="84" t="n">
        <f aca="false">'Motor Cenários'!$L$7</f>
        <v>480.581169</v>
      </c>
      <c r="D57" s="84" t="n">
        <f aca="false">'Motor Cenários'!$BI$7</f>
        <v>1025.96622</v>
      </c>
      <c r="E57" s="84" t="n">
        <f aca="false">'Motor Cenários'!$DF$7</f>
        <v>2041.018695</v>
      </c>
      <c r="F57" s="85" t="n">
        <f aca="false">'Motor Cenários'!$G$7</f>
        <v>7.832</v>
      </c>
      <c r="G57" s="85" t="n">
        <f aca="false">'Motor Cenários'!$BD$7</f>
        <v>16.24</v>
      </c>
      <c r="H57" s="85" t="n">
        <f aca="false">'Motor Cenários'!$DA$7</f>
        <v>31.485</v>
      </c>
      <c r="I57" s="84" t="n">
        <f aca="false">'Motor Cenários'!$AU$7</f>
        <v>-6433.59482466</v>
      </c>
      <c r="J57" s="84" t="n">
        <f aca="false">'Motor Cenários'!$CR$7</f>
        <v>-4453.6485468</v>
      </c>
      <c r="K57" s="84" t="n">
        <f aca="false">'Motor Cenários'!$EO$7</f>
        <v>202.9855877</v>
      </c>
      <c r="L57" s="1"/>
      <c r="M57" s="1"/>
      <c r="N57" s="1"/>
      <c r="O57" s="1"/>
      <c r="P57" s="1"/>
      <c r="Q57" s="1"/>
      <c r="R57" s="1"/>
      <c r="S57" s="1"/>
    </row>
    <row r="58" customFormat="false" ht="15" hidden="false" customHeight="false" outlineLevel="0" collapsed="false">
      <c r="A58" s="1"/>
      <c r="B58" s="83" t="n">
        <f aca="false">'Motor Cenários'!$AZ$8</f>
        <v>46357</v>
      </c>
      <c r="C58" s="84" t="n">
        <f aca="false">'Motor Cenários'!$L$8</f>
        <v>706.08620007</v>
      </c>
      <c r="D58" s="84" t="n">
        <f aca="false">'Motor Cenários'!$BI$8</f>
        <v>1562.7202554</v>
      </c>
      <c r="E58" s="84" t="n">
        <f aca="false">'Motor Cenários'!$DF$8</f>
        <v>3216.4031934</v>
      </c>
      <c r="F58" s="85" t="n">
        <f aca="false">'Motor Cenários'!$G$8</f>
        <v>11.514</v>
      </c>
      <c r="G58" s="85" t="n">
        <f aca="false">'Motor Cenários'!$BD$8</f>
        <v>24.7528</v>
      </c>
      <c r="H58" s="85" t="n">
        <f aca="false">'Motor Cenários'!$DA$8</f>
        <v>49.64265</v>
      </c>
      <c r="I58" s="84" t="n">
        <f aca="false">'Motor Cenários'!$AU$8</f>
        <v>-9434.6092341198</v>
      </c>
      <c r="J58" s="84" t="n">
        <f aca="false">'Motor Cenários'!$CR$8</f>
        <v>-6073.203553076</v>
      </c>
      <c r="K58" s="84" t="n">
        <f aca="false">'Motor Cenários'!$EO$8</f>
        <v>1862.108159124</v>
      </c>
      <c r="L58" s="1"/>
      <c r="M58" s="1"/>
      <c r="N58" s="1"/>
      <c r="O58" s="1"/>
      <c r="P58" s="1"/>
      <c r="Q58" s="1"/>
      <c r="R58" s="1"/>
      <c r="S58" s="1"/>
    </row>
    <row r="59" customFormat="false" ht="15" hidden="false" customHeight="false" outlineLevel="0" collapsed="false">
      <c r="A59" s="1"/>
      <c r="B59" s="83" t="n">
        <f aca="false">'Motor Cenários'!$AZ$9</f>
        <v>46388</v>
      </c>
      <c r="C59" s="84" t="n">
        <f aca="false">'Motor Cenários'!$L$9</f>
        <v>923.1455583921</v>
      </c>
      <c r="D59" s="84" t="n">
        <f aca="false">'Motor Cenários'!$BI$9</f>
        <v>2118.159553278</v>
      </c>
      <c r="E59" s="84" t="n">
        <f aca="false">'Motor Cenários'!$DF$9</f>
        <v>4512.561200208</v>
      </c>
      <c r="F59" s="85" t="n">
        <f aca="false">'Motor Cenários'!$G$9</f>
        <v>15.0626968</v>
      </c>
      <c r="G59" s="85" t="n">
        <f aca="false">'Motor Cenários'!$BD$9</f>
        <v>33.572696</v>
      </c>
      <c r="H59" s="85" t="n">
        <f aca="false">'Motor Cenários'!$DA$9</f>
        <v>69.6828345</v>
      </c>
      <c r="I59" s="84" t="n">
        <f aca="false">'Motor Cenários'!$AU$9</f>
        <v>-12304.4726724458</v>
      </c>
      <c r="J59" s="84" t="n">
        <f aca="false">'Motor Cenários'!$CR$9</f>
        <v>-7270.28483139132</v>
      </c>
      <c r="K59" s="84" t="n">
        <f aca="false">'Motor Cenários'!$EO$9</f>
        <v>4708.42068576688</v>
      </c>
      <c r="L59" s="1"/>
      <c r="M59" s="1"/>
      <c r="N59" s="1"/>
      <c r="O59" s="1"/>
      <c r="P59" s="1"/>
      <c r="Q59" s="1"/>
      <c r="R59" s="1"/>
      <c r="S59" s="1"/>
    </row>
    <row r="60" customFormat="false" ht="15" hidden="false" customHeight="false" outlineLevel="0" collapsed="false">
      <c r="A60" s="1"/>
      <c r="B60" s="83" t="n">
        <f aca="false">'Motor Cenários'!$AZ$10</f>
        <v>46419</v>
      </c>
      <c r="C60" s="84" t="n">
        <f aca="false">'Motor Cenários'!$L$10</f>
        <v>1132.72273967826</v>
      </c>
      <c r="D60" s="84" t="n">
        <f aca="false">'Motor Cenários'!$BI$10</f>
        <v>2694.53645800746</v>
      </c>
      <c r="E60" s="84" t="n">
        <f aca="false">'Motor Cenários'!$DF$10</f>
        <v>5944.59371537496</v>
      </c>
      <c r="F60" s="85" t="n">
        <f aca="false">'Motor Cenários'!$G$10</f>
        <v>18.49359236</v>
      </c>
      <c r="G60" s="85" t="n">
        <f aca="false">'Motor Cenários'!$BD$10</f>
        <v>42.73562472</v>
      </c>
      <c r="H60" s="85" t="n">
        <f aca="false">'Motor Cenários'!$DA$10</f>
        <v>91.840349145</v>
      </c>
      <c r="I60" s="84" t="n">
        <f aca="false">'Motor Cenários'!$AU$10</f>
        <v>-15051.6931227774</v>
      </c>
      <c r="J60" s="84" t="n">
        <f aca="false">'Motor Cenários'!$CR$10</f>
        <v>-8029.37652970871</v>
      </c>
      <c r="K60" s="84" t="n">
        <f aca="false">'Motor Cenários'!$EO$10</f>
        <v>8871.17089485547</v>
      </c>
      <c r="L60" s="1"/>
      <c r="M60" s="1"/>
      <c r="N60" s="1"/>
      <c r="O60" s="1"/>
      <c r="P60" s="1"/>
      <c r="Q60" s="1"/>
      <c r="R60" s="1"/>
      <c r="S60" s="1"/>
    </row>
    <row r="61" customFormat="false" ht="15" hidden="false" customHeight="false" outlineLevel="0" collapsed="false">
      <c r="A61" s="1"/>
      <c r="B61" s="83" t="n">
        <f aca="false">'Motor Cenários'!$AZ$11</f>
        <v>46447</v>
      </c>
      <c r="C61" s="84" t="n">
        <f aca="false">'Motor Cenários'!$L$11</f>
        <v>1335.71279524026</v>
      </c>
      <c r="D61" s="84" t="n">
        <f aca="false">'Motor Cenários'!$BI$11</f>
        <v>3294.21375926798</v>
      </c>
      <c r="E61" s="84" t="n">
        <f aca="false">'Motor Cenários'!$DF$11</f>
        <v>7529.3956134777</v>
      </c>
      <c r="F61" s="85" t="n">
        <f aca="false">'Motor Cenários'!$G$11</f>
        <v>21.82109361432</v>
      </c>
      <c r="G61" s="85" t="n">
        <f aca="false">'Motor Cenários'!$BD$11</f>
        <v>52.2793164504</v>
      </c>
      <c r="H61" s="85" t="n">
        <f aca="false">'Motor Cenários'!$DA$11</f>
        <v>116.37789831225</v>
      </c>
      <c r="I61" s="84" t="n">
        <f aca="false">'Motor Cenários'!$AU$11</f>
        <v>-17684.0384067663</v>
      </c>
      <c r="J61" s="84" t="n">
        <f aca="false">'Motor Cenários'!$CR$11</f>
        <v>-8333.02105130232</v>
      </c>
      <c r="K61" s="84" t="n">
        <f aca="false">'Motor Cenários'!$EO$11</f>
        <v>14495.7704916058</v>
      </c>
      <c r="L61" s="1"/>
      <c r="M61" s="1"/>
      <c r="N61" s="1"/>
      <c r="O61" s="1"/>
      <c r="P61" s="1"/>
      <c r="Q61" s="1"/>
      <c r="R61" s="1"/>
      <c r="S61" s="1"/>
    </row>
    <row r="62" customFormat="false" ht="15" hidden="false" customHeight="false" outlineLevel="0" collapsed="false">
      <c r="A62" s="1"/>
      <c r="B62" s="83" t="n">
        <f aca="false">'Motor Cenários'!$AZ$12</f>
        <v>46478</v>
      </c>
      <c r="C62" s="84" t="n">
        <f aca="false">'Motor Cenários'!$L$12</f>
        <v>1532.94806659938</v>
      </c>
      <c r="D62" s="84" t="n">
        <f aca="false">'Motor Cenários'!$BI$12</f>
        <v>3919.67478415674</v>
      </c>
      <c r="E62" s="84" t="n">
        <f aca="false">'Motor Cenários'!$DF$12</f>
        <v>9285.87145603503</v>
      </c>
      <c r="F62" s="85" t="n">
        <f aca="false">'Motor Cenários'!$G$12</f>
        <v>25.058604427588</v>
      </c>
      <c r="G62" s="85" t="n">
        <f aca="false">'Motor Cenários'!$BD$12</f>
        <v>62.243456701928</v>
      </c>
      <c r="H62" s="85" t="n">
        <f aca="false">'Motor Cenários'!$DA$12</f>
        <v>143.589452161475</v>
      </c>
      <c r="I62" s="84" t="n">
        <f aca="false">'Motor Cenários'!$AU$12</f>
        <v>-21408.5936118103</v>
      </c>
      <c r="J62" s="84" t="n">
        <f aca="false">'Motor Cenários'!$CR$12</f>
        <v>-9361.72133129378</v>
      </c>
      <c r="K62" s="84" t="n">
        <f aca="false">'Motor Cenários'!$EO$12</f>
        <v>20545.7229430211</v>
      </c>
      <c r="L62" s="1"/>
      <c r="M62" s="1"/>
      <c r="N62" s="1"/>
      <c r="O62" s="1"/>
      <c r="P62" s="1"/>
      <c r="Q62" s="1"/>
      <c r="R62" s="1"/>
      <c r="S62" s="1"/>
    </row>
    <row r="63" customFormat="false" ht="15" hidden="false" customHeight="false" outlineLevel="0" collapsed="false">
      <c r="A63" s="1"/>
      <c r="B63" s="83" t="n">
        <f aca="false">'Motor Cenários'!$AZ$13</f>
        <v>46508</v>
      </c>
      <c r="C63" s="84" t="n">
        <f aca="false">'Motor Cenários'!$L$13</f>
        <v>1725.20346909913</v>
      </c>
      <c r="D63" s="84" t="n">
        <f aca="false">'Motor Cenários'!$BI$13</f>
        <v>4573.53407770071</v>
      </c>
      <c r="E63" s="84" t="n">
        <f aca="false">'Motor Cenários'!$DF$13</f>
        <v>11235.177184881</v>
      </c>
      <c r="F63" s="85" t="n">
        <f aca="false">'Motor Cenários'!$G$13</f>
        <v>28.218610324867</v>
      </c>
      <c r="G63" s="85" t="n">
        <f aca="false">'Motor Cenários'!$BD$13</f>
        <v>72.669857366063</v>
      </c>
      <c r="H63" s="85" t="n">
        <f aca="false">'Motor Cenários'!$DA$13</f>
        <v>173.804006291053</v>
      </c>
      <c r="I63" s="84" t="n">
        <f aca="false">'Motor Cenários'!$AU$13</f>
        <v>-25031.8138705385</v>
      </c>
      <c r="J63" s="84" t="n">
        <f aca="false">'Motor Cenários'!$CR$13</f>
        <v>-9893.83422511999</v>
      </c>
      <c r="K63" s="84" t="n">
        <f aca="false">'Motor Cenários'!$EO$13</f>
        <v>28404.7831845714</v>
      </c>
      <c r="L63" s="1"/>
      <c r="M63" s="1"/>
      <c r="N63" s="1"/>
      <c r="O63" s="1"/>
      <c r="P63" s="1"/>
      <c r="Q63" s="1"/>
      <c r="R63" s="1"/>
      <c r="S63" s="1"/>
    </row>
    <row r="64" customFormat="false" ht="15" hidden="false" customHeight="false" outlineLevel="0" collapsed="false">
      <c r="A64" s="1"/>
      <c r="B64" s="83" t="n">
        <f aca="false">'Motor Cenários'!$AZ$14</f>
        <v>46539</v>
      </c>
      <c r="C64" s="84" t="n">
        <f aca="false">'Motor Cenários'!$L$14</f>
        <v>1913.20136083372</v>
      </c>
      <c r="D64" s="84" t="n">
        <f aca="false">'Motor Cenários'!$BI$14</f>
        <v>5258.54871886011</v>
      </c>
      <c r="E64" s="84" t="n">
        <f aca="false">'Motor Cenários'!$DF$14</f>
        <v>13400.9908028149</v>
      </c>
      <c r="F64" s="85" t="n">
        <f aca="false">'Motor Cenários'!$G$14</f>
        <v>31.3127565779082</v>
      </c>
      <c r="G64" s="85" t="n">
        <f aca="false">'Motor Cenários'!$BD$14</f>
        <v>83.6026381419374</v>
      </c>
      <c r="H64" s="85" t="n">
        <f aca="false">'Motor Cenários'!$DA$14</f>
        <v>207.389792320076</v>
      </c>
      <c r="I64" s="84" t="n">
        <f aca="false">'Motor Cenários'!$AU$14</f>
        <v>-28559.5728627585</v>
      </c>
      <c r="J64" s="84" t="n">
        <f aca="false">'Motor Cenários'!$CR$14</f>
        <v>-9905.45448501427</v>
      </c>
      <c r="K64" s="84" t="n">
        <f aca="false">'Motor Cenários'!$EO$14</f>
        <v>38279.3770697959</v>
      </c>
      <c r="L64" s="1"/>
      <c r="M64" s="1"/>
      <c r="N64" s="1"/>
      <c r="O64" s="1"/>
      <c r="P64" s="1"/>
      <c r="Q64" s="1"/>
      <c r="R64" s="1"/>
      <c r="S64" s="1"/>
    </row>
    <row r="65" customFormat="false" ht="15" hidden="false" customHeight="false" outlineLevel="0" collapsed="false">
      <c r="A65" s="1"/>
      <c r="B65" s="83" t="n">
        <f aca="false">'Motor Cenários'!$AZ$15</f>
        <v>46569</v>
      </c>
      <c r="C65" s="84" t="n">
        <f aca="false">'Motor Cenários'!$L$15</f>
        <v>2097.61603030743</v>
      </c>
      <c r="D65" s="84" t="n">
        <f aca="false">'Motor Cenários'!$BI$15</f>
        <v>5977.63032211465</v>
      </c>
      <c r="E65" s="84" t="n">
        <f aca="false">'Motor Cenários'!$DF$15</f>
        <v>15809.8155204784</v>
      </c>
      <c r="F65" s="85" t="n">
        <f aca="false">'Motor Cenários'!$G$15</f>
        <v>34.3519201830771</v>
      </c>
      <c r="G65" s="85" t="n">
        <f aca="false">'Motor Cenários'!$BD$15</f>
        <v>95.0884190341105</v>
      </c>
      <c r="H65" s="85" t="n">
        <f aca="false">'Motor Cenários'!$DA$15</f>
        <v>244.758993514358</v>
      </c>
      <c r="I65" s="84" t="n">
        <f aca="false">'Motor Cenários'!$AU$15</f>
        <v>-31997.2073804169</v>
      </c>
      <c r="J65" s="84" t="n">
        <f aca="false">'Motor Cenários'!$CR$15</f>
        <v>-9370.28875887234</v>
      </c>
      <c r="K65" s="84" t="n">
        <f aca="false">'Motor Cenários'!$EO$15</f>
        <v>50401.3117218046</v>
      </c>
      <c r="L65" s="1"/>
      <c r="M65" s="1"/>
      <c r="N65" s="1"/>
      <c r="O65" s="1"/>
      <c r="P65" s="1"/>
      <c r="Q65" s="1"/>
      <c r="R65" s="1"/>
      <c r="S65" s="1"/>
    </row>
    <row r="66" customFormat="false" ht="15" hidden="false" customHeight="false" outlineLevel="0" collapsed="false">
      <c r="A66" s="1"/>
      <c r="B66" s="83" t="n">
        <f aca="false">'Motor Cenários'!$AZ$16</f>
        <v>46600</v>
      </c>
      <c r="C66" s="84" t="n">
        <f aca="false">'Motor Cenários'!$L$16</f>
        <v>2279.07783357345</v>
      </c>
      <c r="D66" s="84" t="n">
        <f aca="false">'Motor Cenários'!$BI$16</f>
        <v>6733.8577779503</v>
      </c>
      <c r="E66" s="84" t="n">
        <f aca="false">'Motor Cenários'!$DF$16</f>
        <v>18491.3192658718</v>
      </c>
      <c r="F66" s="85" t="n">
        <f aca="false">'Motor Cenários'!$G$16</f>
        <v>37.3462762237745</v>
      </c>
      <c r="G66" s="85" t="n">
        <f aca="false">'Motor Cenários'!$BD$16</f>
        <v>107.176524777624</v>
      </c>
      <c r="H66" s="85" t="n">
        <f aca="false">'Motor Cenários'!$DA$16</f>
        <v>286.373026068477</v>
      </c>
      <c r="I66" s="84" t="n">
        <f aca="false">'Motor Cenários'!$AU$16</f>
        <v>-35349.558268823</v>
      </c>
      <c r="J66" s="84" t="n">
        <f aca="false">'Motor Cenários'!$CR$16</f>
        <v>-8259.51900149244</v>
      </c>
      <c r="K66" s="84" t="n">
        <f aca="false">'Motor Cenários'!$EO$16</f>
        <v>65030.8116852544</v>
      </c>
      <c r="L66" s="1"/>
      <c r="M66" s="1"/>
      <c r="N66" s="1"/>
      <c r="O66" s="1"/>
      <c r="P66" s="1"/>
      <c r="Q66" s="1"/>
      <c r="R66" s="1"/>
      <c r="S66" s="1"/>
    </row>
    <row r="67" customFormat="false" ht="15" hidden="false" customHeight="false" outlineLevel="0" collapsed="false">
      <c r="A67" s="1"/>
      <c r="B67" s="83" t="n">
        <f aca="false">'Motor Cenários'!$AZ$17</f>
        <v>46631</v>
      </c>
      <c r="C67" s="84" t="n">
        <f aca="false">'Motor Cenários'!$L$17</f>
        <v>2458.1770091489</v>
      </c>
      <c r="D67" s="84" t="n">
        <f aca="false">'Motor Cenários'!$BI$17</f>
        <v>7530.49078903005</v>
      </c>
      <c r="E67" s="84" t="n">
        <f aca="false">'Motor Cenários'!$DF$17</f>
        <v>21478.7149204742</v>
      </c>
      <c r="F67" s="85" t="n">
        <f aca="false">'Motor Cenários'!$G$17</f>
        <v>40.3053590708764</v>
      </c>
      <c r="G67" s="85" t="n">
        <f aca="false">'Motor Cenários'!$BD$17</f>
        <v>119.919202102627</v>
      </c>
      <c r="H67" s="85" t="n">
        <f aca="false">'Motor Cenários'!$DA$17</f>
        <v>332.748453929119</v>
      </c>
      <c r="I67" s="84" t="n">
        <f aca="false">'Motor Cenários'!$AU$17</f>
        <v>-38621.0080322817</v>
      </c>
      <c r="J67" s="84" t="n">
        <f aca="false">'Motor Cenários'!$CR$17</f>
        <v>-6541.65464092594</v>
      </c>
      <c r="K67" s="84" t="n">
        <f aca="false">'Motor Cenários'!$EO$17</f>
        <v>82459.919965711</v>
      </c>
      <c r="L67" s="1"/>
      <c r="M67" s="1"/>
      <c r="N67" s="1"/>
      <c r="O67" s="1"/>
      <c r="P67" s="1"/>
      <c r="Q67" s="1"/>
      <c r="R67" s="1"/>
      <c r="S67" s="1"/>
    </row>
    <row r="68" customFormat="false" ht="15" hidden="false" customHeight="false" outlineLevel="0" collapsed="false">
      <c r="A68" s="1"/>
      <c r="B68" s="83" t="n">
        <f aca="false">'Motor Cenários'!$AZ$18</f>
        <v>46661</v>
      </c>
      <c r="C68" s="84" t="n">
        <f aca="false">'Motor Cenários'!$L$18</f>
        <v>2624.99104674616</v>
      </c>
      <c r="D68" s="84" t="n">
        <f aca="false">'Motor Cenários'!$BI$18</f>
        <v>8340.46916255423</v>
      </c>
      <c r="E68" s="84" t="n">
        <f aca="false">'Motor Cenários'!$DF$18</f>
        <v>24758.2445945981</v>
      </c>
      <c r="F68" s="85" t="n">
        <f aca="false">'Motor Cenários'!$G$18</f>
        <v>43.0381188385602</v>
      </c>
      <c r="G68" s="85" t="n">
        <f aca="false">'Motor Cenários'!$BD$18</f>
        <v>132.811850810852</v>
      </c>
      <c r="H68" s="85" t="n">
        <f aca="false">'Motor Cenários'!$DA$18</f>
        <v>383.563613191066</v>
      </c>
      <c r="I68" s="84" t="n">
        <f aca="false">'Motor Cenários'!$AU$18</f>
        <v>-41701.7423801727</v>
      </c>
      <c r="J68" s="84" t="n">
        <f aca="false">'Motor Cenários'!$CR$18</f>
        <v>-3567.15641833742</v>
      </c>
      <c r="K68" s="84" t="n">
        <f aca="false">'Motor Cenários'!$EO$18</f>
        <v>105227.895752246</v>
      </c>
      <c r="L68" s="1"/>
      <c r="M68" s="1"/>
      <c r="N68" s="1"/>
      <c r="O68" s="1"/>
      <c r="P68" s="1"/>
      <c r="Q68" s="1"/>
      <c r="R68" s="1"/>
      <c r="S68" s="1"/>
    </row>
    <row r="69" customFormat="false" ht="15" hidden="false" customHeight="false" outlineLevel="0" collapsed="false">
      <c r="A69" s="1"/>
      <c r="B69" s="83" t="n">
        <f aca="false">'Motor Cenários'!$AZ$19</f>
        <v>46692</v>
      </c>
      <c r="C69" s="84" t="n">
        <f aca="false">'Motor Cenários'!$L$19</f>
        <v>2790.20209928552</v>
      </c>
      <c r="D69" s="84" t="n">
        <f aca="false">'Motor Cenários'!$BI$19</f>
        <v>9195.8373663105</v>
      </c>
      <c r="E69" s="84" t="n">
        <f aca="false">'Motor Cenários'!$DF$19</f>
        <v>28416.3683021068</v>
      </c>
      <c r="F69" s="85" t="n">
        <f aca="false">'Motor Cenários'!$G$19</f>
        <v>45.74697347963</v>
      </c>
      <c r="G69" s="85" t="n">
        <f aca="false">'Motor Cenários'!$BD$19</f>
        <v>146.4340697006</v>
      </c>
      <c r="H69" s="85" t="n">
        <f aca="false">'Motor Cenários'!$DA$19</f>
        <v>440.258031220732</v>
      </c>
      <c r="I69" s="84" t="n">
        <f aca="false">'Motor Cenários'!$AU$19</f>
        <v>-44705.5877125866</v>
      </c>
      <c r="J69" s="84" t="n">
        <f aca="false">'Motor Cenários'!$CR$19</f>
        <v>129.432136055023</v>
      </c>
      <c r="K69" s="84" t="n">
        <f aca="false">'Motor Cenários'!$EO$19</f>
        <v>131756.55832711</v>
      </c>
      <c r="L69" s="1"/>
      <c r="M69" s="1"/>
      <c r="N69" s="1"/>
      <c r="O69" s="1"/>
      <c r="P69" s="1"/>
      <c r="Q69" s="1"/>
      <c r="R69" s="1"/>
      <c r="S69" s="1"/>
    </row>
    <row r="70" customFormat="false" ht="15" hidden="false" customHeight="false" outlineLevel="0" collapsed="false">
      <c r="A70" s="1"/>
      <c r="B70" s="83" t="n">
        <f aca="false">'Motor Cenários'!$AZ$20</f>
        <v>46722</v>
      </c>
      <c r="C70" s="84" t="n">
        <f aca="false">'Motor Cenários'!$L$20</f>
        <v>2954.2906697101</v>
      </c>
      <c r="D70" s="84" t="n">
        <f aca="false">'Motor Cenários'!$BI$20</f>
        <v>10100.3381212108</v>
      </c>
      <c r="E70" s="84" t="n">
        <f aca="false">'Motor Cenários'!$DF$20</f>
        <v>32498.9658128318</v>
      </c>
      <c r="F70" s="85" t="n">
        <f aca="false">'Motor Cenários'!$G$20</f>
        <v>48.4396768738588</v>
      </c>
      <c r="G70" s="85" t="n">
        <f aca="false">'Motor Cenários'!$BD$20</f>
        <v>160.845574445982</v>
      </c>
      <c r="H70" s="85" t="n">
        <f aca="false">'Motor Cenários'!$DA$20</f>
        <v>503.543775880557</v>
      </c>
      <c r="I70" s="84" t="n">
        <f aca="false">'Motor Cenários'!$AU$20</f>
        <v>-47635.6422427323</v>
      </c>
      <c r="J70" s="84" t="n">
        <f aca="false">'Motor Cenários'!$CR$20</f>
        <v>4591.66372492338</v>
      </c>
      <c r="K70" s="84" t="n">
        <f aca="false">'Motor Cenários'!$EO$20</f>
        <v>162490.050877266</v>
      </c>
      <c r="L70" s="1"/>
      <c r="M70" s="1"/>
      <c r="N70" s="1"/>
      <c r="O70" s="1"/>
      <c r="P70" s="1"/>
      <c r="Q70" s="1"/>
      <c r="R70" s="1"/>
      <c r="S70" s="1"/>
    </row>
    <row r="71" customFormat="false" ht="15" hidden="false" customHeight="false" outlineLevel="0" collapsed="false">
      <c r="A71" s="1"/>
      <c r="B71" s="83" t="n">
        <f aca="false">'Motor Cenários'!$AZ$21</f>
        <v>46753</v>
      </c>
      <c r="C71" s="84" t="n">
        <f aca="false">'Motor Cenários'!$L$21</f>
        <v>3117.70938865173</v>
      </c>
      <c r="D71" s="84" t="n">
        <f aca="false">'Motor Cenários'!$BI$21</f>
        <v>11057.9478669913</v>
      </c>
      <c r="E71" s="84" t="n">
        <f aca="false">'Motor Cenários'!$DF$21</f>
        <v>37057.4090144097</v>
      </c>
      <c r="F71" s="85" t="n">
        <f aca="false">'Motor Cenários'!$G$21</f>
        <v>51.1235378347273</v>
      </c>
      <c r="G71" s="85" t="n">
        <f aca="false">'Motor Cenários'!$BD$21</f>
        <v>176.109828530223</v>
      </c>
      <c r="H71" s="85" t="n">
        <f aca="false">'Motor Cenários'!$DA$21</f>
        <v>574.21816647216</v>
      </c>
      <c r="I71" s="84" t="n">
        <f aca="false">'Motor Cenários'!$AU$21</f>
        <v>-50494.6647395208</v>
      </c>
      <c r="J71" s="84" t="n">
        <f aca="false">'Motor Cenários'!$CR$21</f>
        <v>9866.69473072212</v>
      </c>
      <c r="K71" s="84" t="n">
        <f aca="false">'Motor Cenários'!$EO$21</f>
        <v>197926.374408839</v>
      </c>
      <c r="L71" s="1"/>
      <c r="M71" s="1"/>
      <c r="N71" s="1"/>
      <c r="O71" s="1"/>
      <c r="P71" s="1"/>
      <c r="Q71" s="1"/>
      <c r="R71" s="1"/>
      <c r="S71" s="1"/>
    </row>
    <row r="72" customFormat="false" ht="15" hidden="false" customHeight="false" outlineLevel="0" collapsed="false">
      <c r="A72" s="1"/>
      <c r="B72" s="83" t="n">
        <f aca="false">'Motor Cenários'!$AZ$22</f>
        <v>46784</v>
      </c>
      <c r="C72" s="84" t="n">
        <f aca="false">'Motor Cenários'!$L$22</f>
        <v>3280.88556125359</v>
      </c>
      <c r="D72" s="84" t="n">
        <f aca="false">'Motor Cenários'!$BI$22</f>
        <v>12072.8945361115</v>
      </c>
      <c r="E72" s="84" t="n">
        <f aca="false">'Motor Cenários'!$DF$22</f>
        <v>42149.2213700557</v>
      </c>
      <c r="F72" s="85" t="n">
        <f aca="false">'Motor Cenários'!$G$22</f>
        <v>53.8054609720497</v>
      </c>
      <c r="G72" s="85" t="n">
        <f aca="false">'Motor Cenários'!$BD$22</f>
        <v>192.29432720671</v>
      </c>
      <c r="H72" s="85" t="n">
        <f aca="false">'Motor Cenários'!$DA$22</f>
        <v>653.174009810177</v>
      </c>
      <c r="I72" s="84" t="n">
        <f aca="false">'Motor Cenários'!$AU$22</f>
        <v>-53285.0989354925</v>
      </c>
      <c r="J72" s="84" t="n">
        <f aca="false">'Motor Cenários'!$CR$22</f>
        <v>16005.5158830302</v>
      </c>
      <c r="K72" s="84" t="n">
        <f aca="false">'Motor Cenários'!$EO$22</f>
        <v>238623.84426011</v>
      </c>
      <c r="L72" s="1"/>
      <c r="M72" s="1"/>
      <c r="N72" s="1"/>
      <c r="O72" s="1"/>
      <c r="P72" s="1"/>
      <c r="Q72" s="1"/>
      <c r="R72" s="1"/>
      <c r="S72" s="1"/>
    </row>
    <row r="73" customFormat="false" ht="15" hidden="false" customHeight="false" outlineLevel="0" collapsed="false">
      <c r="A73" s="1"/>
      <c r="B73" s="83" t="n">
        <f aca="false">'Motor Cenários'!$AZ$23</f>
        <v>46813</v>
      </c>
      <c r="C73" s="84" t="n">
        <f aca="false">'Motor Cenários'!$L$23</f>
        <v>3444.22351975811</v>
      </c>
      <c r="D73" s="84" t="n">
        <f aca="false">'Motor Cenários'!$BI$23</f>
        <v>13149.6765011487</v>
      </c>
      <c r="E73" s="84" t="n">
        <f aca="false">'Motor Cenários'!$DF$23</f>
        <v>47838.8164991618</v>
      </c>
      <c r="F73" s="85" t="n">
        <f aca="false">'Motor Cenários'!$G$23</f>
        <v>56.4919844433093</v>
      </c>
      <c r="G73" s="85" t="n">
        <f aca="false">'Motor Cenários'!$BD$23</f>
        <v>209.470900256582</v>
      </c>
      <c r="H73" s="85" t="n">
        <f aca="false">'Motor Cenários'!$DA$23</f>
        <v>741.411064447916</v>
      </c>
      <c r="I73" s="84" t="n">
        <f aca="false">'Motor Cenários'!$AU$23</f>
        <v>-56009.0958996805</v>
      </c>
      <c r="J73" s="84" t="n">
        <f aca="false">'Motor Cenários'!$CR$23</f>
        <v>23063.2003368978</v>
      </c>
      <c r="K73" s="84" t="n">
        <f aca="false">'Motor Cenários'!$EO$23</f>
        <v>285208.321900639</v>
      </c>
      <c r="L73" s="1"/>
      <c r="M73" s="1"/>
      <c r="N73" s="1"/>
      <c r="O73" s="1"/>
      <c r="P73" s="1"/>
      <c r="Q73" s="1"/>
      <c r="R73" s="1"/>
      <c r="S73" s="1"/>
    </row>
    <row r="74" customFormat="false" ht="15" hidden="false" customHeight="false" outlineLevel="0" collapsed="false">
      <c r="A74" s="1"/>
      <c r="B74" s="83" t="n">
        <f aca="false">'Motor Cenários'!$AZ$24</f>
        <v>46844</v>
      </c>
      <c r="C74" s="84" t="n">
        <f aca="false">'Motor Cenários'!$L$24</f>
        <v>3608.10679768442</v>
      </c>
      <c r="D74" s="84" t="n">
        <f aca="false">'Motor Cenários'!$BI$24</f>
        <v>14293.082781363</v>
      </c>
      <c r="E74" s="84" t="n">
        <f aca="false">'Motor Cenários'!$DF$24</f>
        <v>54198.3253758196</v>
      </c>
      <c r="F74" s="85" t="n">
        <f aca="false">'Motor Cenários'!$G$24</f>
        <v>59.1893148473388</v>
      </c>
      <c r="G74" s="85" t="n">
        <f aca="false">'Motor Cenários'!$BD$24</f>
        <v>227.716034912675</v>
      </c>
      <c r="H74" s="85" t="n">
        <f aca="false">'Motor Cenários'!$DA$24</f>
        <v>840.048880438368</v>
      </c>
      <c r="I74" s="84" t="n">
        <f aca="false">'Motor Cenários'!$AU$24</f>
        <v>-58668.5345357442</v>
      </c>
      <c r="J74" s="84" t="n">
        <f aca="false">'Motor Cenários'!$CR$24</f>
        <v>31099.1703232968</v>
      </c>
      <c r="K74" s="84" t="n">
        <f aca="false">'Motor Cenários'!$EO$24</f>
        <v>338381.315045079</v>
      </c>
      <c r="L74" s="1"/>
      <c r="M74" s="1"/>
      <c r="N74" s="1"/>
      <c r="O74" s="1"/>
      <c r="P74" s="1"/>
      <c r="Q74" s="1"/>
      <c r="R74" s="1"/>
      <c r="S74" s="1"/>
    </row>
    <row r="75" customFormat="false" ht="15" hidden="false" customHeight="false" outlineLevel="0" collapsed="false">
      <c r="A75" s="1"/>
      <c r="B75" s="83" t="n">
        <f aca="false">'Motor Cenários'!$AZ$25</f>
        <v>46874</v>
      </c>
      <c r="C75" s="84" t="n">
        <f aca="false">'Motor Cenários'!$L$25</f>
        <v>3772.90014016184</v>
      </c>
      <c r="D75" s="84" t="n">
        <f aca="false">'Motor Cenários'!$BI$25</f>
        <v>15508.2145999355</v>
      </c>
      <c r="E75" s="84" t="n">
        <f aca="false">'Motor Cenários'!$DF$25</f>
        <v>61308.5227797736</v>
      </c>
      <c r="F75" s="85" t="n">
        <f aca="false">'Motor Cenários'!$G$25</f>
        <v>61.9033594938307</v>
      </c>
      <c r="G75" s="85" t="n">
        <f aca="false">'Motor Cenários'!$BD$25</f>
        <v>247.111220412789</v>
      </c>
      <c r="H75" s="85" t="n">
        <f aca="false">'Motor Cenários'!$DA$25</f>
        <v>950.341179699973</v>
      </c>
      <c r="I75" s="84" t="n">
        <f aca="false">'Motor Cenários'!$AU$25</f>
        <v>-61265.040352804</v>
      </c>
      <c r="J75" s="84" t="n">
        <f aca="false">'Motor Cenários'!$CR$25</f>
        <v>40177.4836171013</v>
      </c>
      <c r="K75" s="84" t="n">
        <f aca="false">'Motor Cenários'!$EO$25</f>
        <v>398929.050274112</v>
      </c>
      <c r="L75" s="1"/>
      <c r="M75" s="1"/>
      <c r="N75" s="1"/>
      <c r="O75" s="1"/>
      <c r="P75" s="1"/>
      <c r="Q75" s="1"/>
      <c r="R75" s="1"/>
      <c r="S75" s="1"/>
    </row>
    <row r="76" customFormat="false" ht="15" hidden="false" customHeight="false" outlineLevel="0" collapsed="false">
      <c r="A76" s="1"/>
      <c r="B76" s="83" t="n">
        <f aca="false">'Motor Cenários'!$AZ$26</f>
        <v>46905</v>
      </c>
      <c r="C76" s="84" t="n">
        <f aca="false">'Motor Cenários'!$L$26</f>
        <v>3938.95136382982</v>
      </c>
      <c r="D76" s="84" t="n">
        <f aca="false">'Motor Cenários'!$BI$26</f>
        <v>16800.5083896143</v>
      </c>
      <c r="E76" s="84" t="n">
        <f aca="false">'Motor Cenários'!$DF$26</f>
        <v>69259.8649104365</v>
      </c>
      <c r="F76" s="85" t="n">
        <f aca="false">'Motor Cenários'!$G$26</f>
        <v>64.6397562636317</v>
      </c>
      <c r="G76" s="85" t="n">
        <f aca="false">'Motor Cenários'!$BD$26</f>
        <v>267.743315745098</v>
      </c>
      <c r="H76" s="85" t="n">
        <f aca="false">'Motor Cenários'!$DA$26</f>
        <v>1073.6919618647</v>
      </c>
      <c r="I76" s="84" t="n">
        <f aca="false">'Motor Cenários'!$AU$26</f>
        <v>-63800.0026445366</v>
      </c>
      <c r="J76" s="84" t="n">
        <f aca="false">'Motor Cenários'!$CR$26</f>
        <v>50367.1411581057</v>
      </c>
      <c r="K76" s="84" t="n">
        <f aca="false">'Motor Cenários'!$EO$26</f>
        <v>467732.634858466</v>
      </c>
      <c r="L76" s="1"/>
      <c r="M76" s="1"/>
      <c r="N76" s="1"/>
      <c r="O76" s="1"/>
      <c r="P76" s="1"/>
      <c r="Q76" s="1"/>
      <c r="R76" s="1"/>
      <c r="S76" s="1"/>
    </row>
    <row r="77" customFormat="false" ht="15" hidden="false" customHeight="false" outlineLevel="0" collapsed="false">
      <c r="A77" s="1"/>
      <c r="B77" s="83" t="n">
        <f aca="false">'Motor Cenários'!$AZ$27</f>
        <v>46935</v>
      </c>
      <c r="C77" s="84" t="n">
        <f aca="false">'Motor Cenários'!$L$27</f>
        <v>4106.5930786508</v>
      </c>
      <c r="D77" s="84" t="n">
        <f aca="false">'Motor Cenários'!$BI$27</f>
        <v>18175.7603511865</v>
      </c>
      <c r="E77" s="84" t="n">
        <f aca="false">'Motor Cenários'!$DF$27</f>
        <v>78153.6515038662</v>
      </c>
      <c r="F77" s="85" t="n">
        <f aca="false">'Motor Cenários'!$G$27</f>
        <v>67.4039012577279</v>
      </c>
      <c r="G77" s="85" t="n">
        <f aca="false">'Motor Cenários'!$BD$27</f>
        <v>289.704942255499</v>
      </c>
      <c r="H77" s="85" t="n">
        <f aca="false">'Motor Cenários'!$DA$27</f>
        <v>1211.67354267117</v>
      </c>
      <c r="I77" s="84" t="n">
        <f aca="false">'Motor Cenários'!$AU$27</f>
        <v>-66274.5902011693</v>
      </c>
      <c r="J77" s="84" t="n">
        <f aca="false">'Motor Cenários'!$CR$27</f>
        <v>61742.4172568373</v>
      </c>
      <c r="K77" s="84" t="n">
        <f aca="false">'Motor Cenários'!$EO$27</f>
        <v>545779.438485974</v>
      </c>
      <c r="L77" s="1"/>
      <c r="M77" s="1"/>
      <c r="N77" s="1"/>
      <c r="O77" s="1"/>
      <c r="P77" s="1"/>
      <c r="Q77" s="1"/>
      <c r="R77" s="1"/>
      <c r="S77" s="1"/>
    </row>
    <row r="78" customFormat="false" ht="15" hidden="false" customHeight="false" outlineLevel="0" collapsed="false">
      <c r="A78" s="1"/>
      <c r="B78" s="83" t="n">
        <f aca="false">'Motor Cenários'!$AZ$28</f>
        <v>46966</v>
      </c>
      <c r="C78" s="84" t="n">
        <f aca="false">'Motor Cenários'!$L$28</f>
        <v>4276.14428300392</v>
      </c>
      <c r="D78" s="84" t="n">
        <f aca="false">'Motor Cenários'!$BI$28</f>
        <v>19640.1526763538</v>
      </c>
      <c r="E78" s="84" t="n">
        <f aca="false">'Motor Cenários'!$DF$28</f>
        <v>88103.3273933821</v>
      </c>
      <c r="F78" s="85" t="n">
        <f aca="false">'Motor Cenários'!$G$28</f>
        <v>70.2009744171519</v>
      </c>
      <c r="G78" s="85" t="n">
        <f aca="false">'Motor Cenários'!$BD$28</f>
        <v>313.094902901216</v>
      </c>
      <c r="H78" s="85" t="n">
        <f aca="false">'Motor Cenários'!$DA$28</f>
        <v>1366.04675681294</v>
      </c>
      <c r="I78" s="84" t="n">
        <f aca="false">'Motor Cenários'!$AU$28</f>
        <v>-68689.7656689572</v>
      </c>
      <c r="J78" s="84" t="n">
        <f aca="false">'Motor Cenários'!$CR$28</f>
        <v>74383.2139197703</v>
      </c>
      <c r="K78" s="84" t="n">
        <f aca="false">'Motor Cenários'!$EO$28</f>
        <v>634175.841276025</v>
      </c>
      <c r="L78" s="1"/>
      <c r="M78" s="1"/>
      <c r="N78" s="1"/>
      <c r="O78" s="1"/>
      <c r="P78" s="1"/>
      <c r="Q78" s="1"/>
      <c r="R78" s="1"/>
      <c r="S78" s="1"/>
    </row>
    <row r="79" customFormat="false" ht="15" hidden="false" customHeight="false" outlineLevel="0" collapsed="false">
      <c r="A79" s="1"/>
      <c r="B79" s="83" t="n">
        <f aca="false">'Motor Cenários'!$AZ$29</f>
        <v>46997</v>
      </c>
      <c r="C79" s="84" t="n">
        <f aca="false">'Motor Cenários'!$L$29</f>
        <v>4447.91184252814</v>
      </c>
      <c r="D79" s="84" t="n">
        <f aca="false">'Motor Cenários'!$BI$29</f>
        <v>21200.2815542535</v>
      </c>
      <c r="E79" s="84" t="n">
        <f aca="false">'Motor Cenários'!$DF$29</f>
        <v>99235.9402473683</v>
      </c>
      <c r="F79" s="85" t="n">
        <f aca="false">'Motor Cenários'!$G$29</f>
        <v>73.0359632816233</v>
      </c>
      <c r="G79" s="85" t="n">
        <f aca="false">'Motor Cenários'!$BD$29</f>
        <v>338.018630057741</v>
      </c>
      <c r="H79" s="85" t="n">
        <f aca="false">'Motor Cenários'!$DA$29</f>
        <v>1538.78358498109</v>
      </c>
      <c r="I79" s="84" t="n">
        <f aca="false">'Motor Cenários'!$AU$29</f>
        <v>-71046.2986624786</v>
      </c>
      <c r="J79" s="84" t="n">
        <f aca="false">'Motor Cenários'!$CR$29</f>
        <v>88375.4409384787</v>
      </c>
      <c r="K79" s="84" t="n">
        <f aca="false">'Motor Cenários'!$EO$29</f>
        <v>734161.512032337</v>
      </c>
      <c r="L79" s="1"/>
      <c r="M79" s="1"/>
      <c r="N79" s="1"/>
      <c r="O79" s="1"/>
      <c r="P79" s="1"/>
      <c r="Q79" s="1"/>
      <c r="R79" s="1"/>
      <c r="S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</sheetData>
  <mergeCells count="1">
    <mergeCell ref="B2:M2"/>
  </mergeCells>
  <conditionalFormatting sqref="C12:E12">
    <cfRule type="expression" priority="2" aboveAverage="0" equalAverage="0" bottom="0" percent="0" rank="0" text="" dxfId="0">
      <formula>C12&lt;0</formula>
    </cfRule>
  </conditionalFormatting>
  <conditionalFormatting sqref="C13:E13">
    <cfRule type="expression" priority="3" aboveAverage="0" equalAverage="0" bottom="0" percent="0" rank="0" text="" dxfId="0">
      <formula>C13&lt;0</formula>
    </cfRule>
  </conditionalFormatting>
  <conditionalFormatting sqref="C14:E14">
    <cfRule type="expression" priority="4" aboveAverage="0" equalAverage="0" bottom="0" percent="0" rank="0" text="" dxfId="0">
      <formula>C14&lt;0</formula>
    </cfRule>
  </conditionalFormatting>
  <conditionalFormatting sqref="C15:E15">
    <cfRule type="expression" priority="5" aboveAverage="0" equalAverage="0" bottom="0" percent="0" rank="0" text="" dxfId="0">
      <formula>C15&lt;0</formula>
    </cfRule>
  </conditionalFormatting>
  <hyperlinks>
    <hyperlink ref="B1" r:id="rId1" location="'Comece%20Aqui'!A1" display="⌂  Início"/>
    <hyperlink ref="C1" r:id="rId2" location="'Dashboard'!A1" display="▦ 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B3BB"/>
    <pageSetUpPr fitToPage="true"/>
  </sheetPr>
  <dimension ref="A1:EY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9" min="4" style="0" width="12"/>
    <col collapsed="false" customWidth="true" hidden="false" outlineLevel="0" max="50" min="50" style="0" width="3"/>
    <col collapsed="false" customWidth="true" hidden="false" outlineLevel="0" max="51" min="51" style="0" width="7"/>
    <col collapsed="false" customWidth="true" hidden="false" outlineLevel="0" max="52" min="52" style="0" width="9"/>
    <col collapsed="false" customWidth="true" hidden="false" outlineLevel="0" max="98" min="53" style="0" width="12"/>
    <col collapsed="false" customWidth="true" hidden="false" outlineLevel="0" max="99" min="99" style="0" width="3"/>
    <col collapsed="false" customWidth="true" hidden="false" outlineLevel="0" max="100" min="100" style="0" width="7"/>
    <col collapsed="false" customWidth="true" hidden="false" outlineLevel="0" max="101" min="101" style="0" width="9"/>
    <col collapsed="false" customWidth="true" hidden="false" outlineLevel="0" max="147" min="102" style="0" width="12"/>
    <col collapsed="false" customWidth="true" hidden="false" outlineLevel="0" max="148" min="148" style="0" width="3"/>
  </cols>
  <sheetData>
    <row r="1" customFormat="false" ht="24" hidden="false" customHeight="true" outlineLevel="0" collapsed="false">
      <c r="A1" s="1"/>
      <c r="B1" s="6" t="s">
        <v>26</v>
      </c>
      <c r="C1" s="6" t="s">
        <v>56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</row>
    <row r="2" customFormat="false" ht="42" hidden="false" customHeight="true" outlineLevel="0" collapsed="false">
      <c r="A2" s="1"/>
      <c r="B2" s="2" t="s">
        <v>273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/>
      <c r="EU2" s="1"/>
      <c r="EV2" s="1"/>
      <c r="EW2" s="1"/>
      <c r="EX2" s="1"/>
      <c r="EY2" s="1"/>
    </row>
    <row r="3" customFormat="false" ht="15" hidden="false" customHeight="false" outlineLevel="0" collapsed="false">
      <c r="A3" s="1"/>
      <c r="B3" s="10" t="s">
        <v>274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</row>
    <row r="4" customFormat="false" ht="15" hidden="false" customHeight="false" outlineLevel="0" collapsed="false">
      <c r="A4" s="1"/>
      <c r="B4" s="86" t="s">
        <v>83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1"/>
      <c r="AY4" s="86" t="s">
        <v>84</v>
      </c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6"/>
      <c r="BV4" s="86"/>
      <c r="BW4" s="86"/>
      <c r="BX4" s="86"/>
      <c r="BY4" s="86"/>
      <c r="BZ4" s="86"/>
      <c r="CA4" s="86"/>
      <c r="CB4" s="86"/>
      <c r="CC4" s="86"/>
      <c r="CD4" s="86"/>
      <c r="CE4" s="86"/>
      <c r="CF4" s="86"/>
      <c r="CG4" s="86"/>
      <c r="CH4" s="86"/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6"/>
      <c r="CT4" s="86"/>
      <c r="CU4" s="1"/>
      <c r="CV4" s="86" t="s">
        <v>85</v>
      </c>
      <c r="CW4" s="86"/>
      <c r="CX4" s="86"/>
      <c r="CY4" s="86"/>
      <c r="CZ4" s="86"/>
      <c r="DA4" s="86"/>
      <c r="DB4" s="86"/>
      <c r="DC4" s="86"/>
      <c r="DD4" s="86"/>
      <c r="DE4" s="86"/>
      <c r="DF4" s="86"/>
      <c r="DG4" s="86"/>
      <c r="DH4" s="86"/>
      <c r="DI4" s="86"/>
      <c r="DJ4" s="86"/>
      <c r="DK4" s="86"/>
      <c r="DL4" s="86"/>
      <c r="DM4" s="86"/>
      <c r="DN4" s="86"/>
      <c r="DO4" s="86"/>
      <c r="DP4" s="86"/>
      <c r="DQ4" s="86"/>
      <c r="DR4" s="86"/>
      <c r="DS4" s="86"/>
      <c r="DT4" s="86"/>
      <c r="DU4" s="86"/>
      <c r="DV4" s="86"/>
      <c r="DW4" s="86"/>
      <c r="DX4" s="86"/>
      <c r="DY4" s="86"/>
      <c r="DZ4" s="86"/>
      <c r="EA4" s="86"/>
      <c r="EB4" s="86"/>
      <c r="EC4" s="86"/>
      <c r="ED4" s="86"/>
      <c r="EE4" s="86"/>
      <c r="EF4" s="86"/>
      <c r="EG4" s="86"/>
      <c r="EH4" s="86"/>
      <c r="EI4" s="86"/>
      <c r="EJ4" s="86"/>
      <c r="EK4" s="86"/>
      <c r="EL4" s="86"/>
      <c r="EM4" s="86"/>
      <c r="EN4" s="86"/>
      <c r="EO4" s="86"/>
      <c r="EP4" s="86"/>
      <c r="EQ4" s="86"/>
      <c r="ER4" s="1"/>
      <c r="ES4" s="1"/>
      <c r="ET4" s="1"/>
      <c r="EU4" s="1"/>
      <c r="EV4" s="1"/>
      <c r="EW4" s="1"/>
      <c r="EX4" s="1"/>
      <c r="EY4" s="1"/>
    </row>
    <row r="5" customFormat="false" ht="54" hidden="false" customHeight="true" outlineLevel="0" collapsed="false">
      <c r="A5" s="1"/>
      <c r="B5" s="87" t="s">
        <v>153</v>
      </c>
      <c r="C5" s="87" t="s">
        <v>154</v>
      </c>
      <c r="D5" s="87" t="s">
        <v>155</v>
      </c>
      <c r="E5" s="87" t="s">
        <v>156</v>
      </c>
      <c r="F5" s="87" t="s">
        <v>157</v>
      </c>
      <c r="G5" s="87" t="s">
        <v>30</v>
      </c>
      <c r="H5" s="87" t="s">
        <v>158</v>
      </c>
      <c r="I5" s="87" t="s">
        <v>159</v>
      </c>
      <c r="J5" s="87" t="s">
        <v>160</v>
      </c>
      <c r="K5" s="87" t="s">
        <v>161</v>
      </c>
      <c r="L5" s="87" t="s">
        <v>162</v>
      </c>
      <c r="M5" s="87" t="s">
        <v>163</v>
      </c>
      <c r="N5" s="87" t="s">
        <v>164</v>
      </c>
      <c r="O5" s="87" t="s">
        <v>165</v>
      </c>
      <c r="P5" s="87" t="s">
        <v>166</v>
      </c>
      <c r="Q5" s="87" t="s">
        <v>167</v>
      </c>
      <c r="R5" s="87" t="s">
        <v>41</v>
      </c>
      <c r="S5" s="87" t="s">
        <v>168</v>
      </c>
      <c r="T5" s="87" t="s">
        <v>169</v>
      </c>
      <c r="U5" s="87" t="s">
        <v>170</v>
      </c>
      <c r="V5" s="87" t="s">
        <v>171</v>
      </c>
      <c r="W5" s="87" t="s">
        <v>172</v>
      </c>
      <c r="X5" s="87" t="s">
        <v>33</v>
      </c>
      <c r="Y5" s="87" t="s">
        <v>44</v>
      </c>
      <c r="Z5" s="87" t="s">
        <v>173</v>
      </c>
      <c r="AA5" s="87" t="s">
        <v>174</v>
      </c>
      <c r="AB5" s="87" t="s">
        <v>175</v>
      </c>
      <c r="AC5" s="87" t="s">
        <v>176</v>
      </c>
      <c r="AD5" s="87" t="s">
        <v>177</v>
      </c>
      <c r="AE5" s="87" t="s">
        <v>178</v>
      </c>
      <c r="AF5" s="87" t="s">
        <v>179</v>
      </c>
      <c r="AG5" s="87" t="s">
        <v>180</v>
      </c>
      <c r="AH5" s="87" t="s">
        <v>181</v>
      </c>
      <c r="AI5" s="87" t="s">
        <v>182</v>
      </c>
      <c r="AJ5" s="87" t="s">
        <v>183</v>
      </c>
      <c r="AK5" s="87" t="s">
        <v>190</v>
      </c>
      <c r="AL5" s="87" t="s">
        <v>191</v>
      </c>
      <c r="AM5" s="87" t="s">
        <v>192</v>
      </c>
      <c r="AN5" s="87" t="s">
        <v>193</v>
      </c>
      <c r="AO5" s="87" t="s">
        <v>194</v>
      </c>
      <c r="AP5" s="87" t="s">
        <v>195</v>
      </c>
      <c r="AQ5" s="87" t="s">
        <v>196</v>
      </c>
      <c r="AR5" s="87" t="s">
        <v>197</v>
      </c>
      <c r="AS5" s="87" t="s">
        <v>198</v>
      </c>
      <c r="AT5" s="87" t="s">
        <v>199</v>
      </c>
      <c r="AU5" s="87" t="s">
        <v>200</v>
      </c>
      <c r="AV5" s="87" t="s">
        <v>201</v>
      </c>
      <c r="AW5" s="87" t="s">
        <v>202</v>
      </c>
      <c r="AX5" s="1"/>
      <c r="AY5" s="87" t="s">
        <v>153</v>
      </c>
      <c r="AZ5" s="87" t="s">
        <v>154</v>
      </c>
      <c r="BA5" s="87" t="s">
        <v>155</v>
      </c>
      <c r="BB5" s="87" t="s">
        <v>156</v>
      </c>
      <c r="BC5" s="87" t="s">
        <v>157</v>
      </c>
      <c r="BD5" s="87" t="s">
        <v>30</v>
      </c>
      <c r="BE5" s="87" t="s">
        <v>158</v>
      </c>
      <c r="BF5" s="87" t="s">
        <v>159</v>
      </c>
      <c r="BG5" s="87" t="s">
        <v>160</v>
      </c>
      <c r="BH5" s="87" t="s">
        <v>161</v>
      </c>
      <c r="BI5" s="87" t="s">
        <v>162</v>
      </c>
      <c r="BJ5" s="87" t="s">
        <v>163</v>
      </c>
      <c r="BK5" s="87" t="s">
        <v>164</v>
      </c>
      <c r="BL5" s="87" t="s">
        <v>165</v>
      </c>
      <c r="BM5" s="87" t="s">
        <v>166</v>
      </c>
      <c r="BN5" s="87" t="s">
        <v>167</v>
      </c>
      <c r="BO5" s="87" t="s">
        <v>41</v>
      </c>
      <c r="BP5" s="87" t="s">
        <v>168</v>
      </c>
      <c r="BQ5" s="87" t="s">
        <v>169</v>
      </c>
      <c r="BR5" s="87" t="s">
        <v>170</v>
      </c>
      <c r="BS5" s="87" t="s">
        <v>171</v>
      </c>
      <c r="BT5" s="87" t="s">
        <v>172</v>
      </c>
      <c r="BU5" s="87" t="s">
        <v>33</v>
      </c>
      <c r="BV5" s="87" t="s">
        <v>44</v>
      </c>
      <c r="BW5" s="87" t="s">
        <v>173</v>
      </c>
      <c r="BX5" s="87" t="s">
        <v>174</v>
      </c>
      <c r="BY5" s="87" t="s">
        <v>175</v>
      </c>
      <c r="BZ5" s="87" t="s">
        <v>176</v>
      </c>
      <c r="CA5" s="87" t="s">
        <v>177</v>
      </c>
      <c r="CB5" s="87" t="s">
        <v>178</v>
      </c>
      <c r="CC5" s="87" t="s">
        <v>179</v>
      </c>
      <c r="CD5" s="87" t="s">
        <v>180</v>
      </c>
      <c r="CE5" s="87" t="s">
        <v>181</v>
      </c>
      <c r="CF5" s="87" t="s">
        <v>182</v>
      </c>
      <c r="CG5" s="87" t="s">
        <v>183</v>
      </c>
      <c r="CH5" s="87" t="s">
        <v>190</v>
      </c>
      <c r="CI5" s="87" t="s">
        <v>191</v>
      </c>
      <c r="CJ5" s="87" t="s">
        <v>192</v>
      </c>
      <c r="CK5" s="87" t="s">
        <v>193</v>
      </c>
      <c r="CL5" s="87" t="s">
        <v>194</v>
      </c>
      <c r="CM5" s="87" t="s">
        <v>195</v>
      </c>
      <c r="CN5" s="87" t="s">
        <v>196</v>
      </c>
      <c r="CO5" s="87" t="s">
        <v>197</v>
      </c>
      <c r="CP5" s="87" t="s">
        <v>198</v>
      </c>
      <c r="CQ5" s="87" t="s">
        <v>199</v>
      </c>
      <c r="CR5" s="87" t="s">
        <v>200</v>
      </c>
      <c r="CS5" s="87" t="s">
        <v>201</v>
      </c>
      <c r="CT5" s="87" t="s">
        <v>202</v>
      </c>
      <c r="CU5" s="1"/>
      <c r="CV5" s="87" t="s">
        <v>153</v>
      </c>
      <c r="CW5" s="87" t="s">
        <v>154</v>
      </c>
      <c r="CX5" s="87" t="s">
        <v>155</v>
      </c>
      <c r="CY5" s="87" t="s">
        <v>156</v>
      </c>
      <c r="CZ5" s="87" t="s">
        <v>157</v>
      </c>
      <c r="DA5" s="87" t="s">
        <v>30</v>
      </c>
      <c r="DB5" s="87" t="s">
        <v>158</v>
      </c>
      <c r="DC5" s="87" t="s">
        <v>159</v>
      </c>
      <c r="DD5" s="87" t="s">
        <v>160</v>
      </c>
      <c r="DE5" s="87" t="s">
        <v>161</v>
      </c>
      <c r="DF5" s="87" t="s">
        <v>162</v>
      </c>
      <c r="DG5" s="87" t="s">
        <v>163</v>
      </c>
      <c r="DH5" s="87" t="s">
        <v>164</v>
      </c>
      <c r="DI5" s="87" t="s">
        <v>165</v>
      </c>
      <c r="DJ5" s="87" t="s">
        <v>166</v>
      </c>
      <c r="DK5" s="87" t="s">
        <v>167</v>
      </c>
      <c r="DL5" s="87" t="s">
        <v>41</v>
      </c>
      <c r="DM5" s="87" t="s">
        <v>168</v>
      </c>
      <c r="DN5" s="87" t="s">
        <v>169</v>
      </c>
      <c r="DO5" s="87" t="s">
        <v>170</v>
      </c>
      <c r="DP5" s="87" t="s">
        <v>171</v>
      </c>
      <c r="DQ5" s="87" t="s">
        <v>172</v>
      </c>
      <c r="DR5" s="87" t="s">
        <v>33</v>
      </c>
      <c r="DS5" s="87" t="s">
        <v>44</v>
      </c>
      <c r="DT5" s="87" t="s">
        <v>173</v>
      </c>
      <c r="DU5" s="87" t="s">
        <v>174</v>
      </c>
      <c r="DV5" s="87" t="s">
        <v>175</v>
      </c>
      <c r="DW5" s="87" t="s">
        <v>176</v>
      </c>
      <c r="DX5" s="87" t="s">
        <v>177</v>
      </c>
      <c r="DY5" s="87" t="s">
        <v>178</v>
      </c>
      <c r="DZ5" s="87" t="s">
        <v>179</v>
      </c>
      <c r="EA5" s="87" t="s">
        <v>180</v>
      </c>
      <c r="EB5" s="87" t="s">
        <v>181</v>
      </c>
      <c r="EC5" s="87" t="s">
        <v>182</v>
      </c>
      <c r="ED5" s="87" t="s">
        <v>183</v>
      </c>
      <c r="EE5" s="87" t="s">
        <v>190</v>
      </c>
      <c r="EF5" s="87" t="s">
        <v>191</v>
      </c>
      <c r="EG5" s="87" t="s">
        <v>192</v>
      </c>
      <c r="EH5" s="87" t="s">
        <v>193</v>
      </c>
      <c r="EI5" s="87" t="s">
        <v>194</v>
      </c>
      <c r="EJ5" s="87" t="s">
        <v>195</v>
      </c>
      <c r="EK5" s="87" t="s">
        <v>196</v>
      </c>
      <c r="EL5" s="87" t="s">
        <v>197</v>
      </c>
      <c r="EM5" s="87" t="s">
        <v>198</v>
      </c>
      <c r="EN5" s="87" t="s">
        <v>199</v>
      </c>
      <c r="EO5" s="87" t="s">
        <v>200</v>
      </c>
      <c r="EP5" s="87" t="s">
        <v>201</v>
      </c>
      <c r="EQ5" s="87" t="s">
        <v>202</v>
      </c>
      <c r="ER5" s="1"/>
      <c r="ES5" s="1"/>
      <c r="ET5" s="1"/>
      <c r="EU5" s="1"/>
      <c r="EV5" s="1"/>
      <c r="EW5" s="1"/>
      <c r="EX5" s="1"/>
      <c r="EY5" s="1"/>
    </row>
    <row r="6" customFormat="false" ht="15" hidden="false" customHeight="false" outlineLevel="0" collapsed="false">
      <c r="A6" s="1"/>
      <c r="B6" s="51" t="n">
        <f aca="false">1</f>
        <v>1</v>
      </c>
      <c r="C6" s="52" t="n">
        <f aca="false">EDATE(Premissas!$C$7,B6-1)</f>
        <v>46296</v>
      </c>
      <c r="D6" s="53" t="n">
        <f aca="false">Premissas!$C$19*(1+Premissas!$C$20)^(B6-1)</f>
        <v>4</v>
      </c>
      <c r="E6" s="54" t="n">
        <f aca="false">IFERROR(D6/Premissas!$C$25,0)</f>
        <v>40</v>
      </c>
      <c r="F6" s="53" t="n">
        <f aca="false">(N(H5)+N(J5))*Premissas!$C$21+AH6</f>
        <v>0</v>
      </c>
      <c r="G6" s="55" t="n">
        <f aca="false">H6+I6+J6+K6</f>
        <v>4</v>
      </c>
      <c r="H6" s="53" t="n">
        <f aca="false">N(H5)*(1-Premissas!$C$21)+AB6</f>
        <v>3.06</v>
      </c>
      <c r="I6" s="53" t="n">
        <f aca="false">SUM(INDEX($AF$6:$AF$29,MAX(1,B6-11)):INDEX($AF$6:$AF$29,B6))</f>
        <v>0.34</v>
      </c>
      <c r="J6" s="53" t="n">
        <f aca="false">N(J5)*(1-Premissas!$C$21)+AD6</f>
        <v>0.54</v>
      </c>
      <c r="K6" s="53" t="n">
        <f aca="false">SUM(INDEX($AG$6:$AG$29,MAX(1,B6-11)):INDEX($AG$6:$AG$29,B6))</f>
        <v>0.06</v>
      </c>
      <c r="L6" s="56" t="n">
        <f aca="false">H6*Premissas!$C$13+I6*Premissas!$F$13/12+J6*Premissas!$C$14+K6*Premissas!$F$14/12</f>
        <v>245.5923</v>
      </c>
      <c r="M6" s="40" t="n">
        <f aca="false">L6*12</f>
        <v>2947.1076</v>
      </c>
      <c r="N6" s="40" t="n">
        <f aca="false">IFERROR(L6/G6,0)</f>
        <v>61.398075</v>
      </c>
      <c r="O6" s="40" t="n">
        <f aca="false">L6*Premissas!$C$30</f>
        <v>14.735538</v>
      </c>
      <c r="P6" s="40" t="n">
        <f aca="false">L6*Premissas!$C$28+AI6*Premissas!$C$29</f>
        <v>10.5557305</v>
      </c>
      <c r="Q6" s="40" t="n">
        <f aca="false">G6*Premissas!$C$31</f>
        <v>2</v>
      </c>
      <c r="R6" s="40" t="n">
        <f aca="false">L6-O6-P6-Q6</f>
        <v>218.3010315</v>
      </c>
      <c r="S6" s="57" t="n">
        <f aca="false">IFERROR(R6/L6,0)</f>
        <v>0.88887571597318</v>
      </c>
      <c r="T6" s="40" t="n">
        <f aca="false">SUMPRODUCT(Premissas!$C$42:$C$61,--(Premissas!$D$42:$D$61&lt;=B6))</f>
        <v>2195</v>
      </c>
      <c r="U6" s="40" t="n">
        <f aca="false">Premissas!$C$34*(1+Premissas!$C$35)^(B6-1)</f>
        <v>1500</v>
      </c>
      <c r="V6" s="40" t="n">
        <f aca="false">D6*Premissas!$C$36*Premissas!$C$37</f>
        <v>24</v>
      </c>
      <c r="W6" s="40" t="n">
        <f aca="false">O6+P6+Q6+T6+U6+V6</f>
        <v>3746.2912685</v>
      </c>
      <c r="X6" s="56" t="n">
        <f aca="false">L6-W6</f>
        <v>-3500.6989685</v>
      </c>
      <c r="Y6" s="40" t="n">
        <f aca="false">N(Y5)+X6</f>
        <v>-3500.6989685</v>
      </c>
      <c r="Z6" s="40" t="n">
        <f aca="false">IFERROR((U6+V6)/D6,0)</f>
        <v>381</v>
      </c>
      <c r="AA6" s="54" t="n">
        <f aca="false">IFERROR(T6/(R6/G6),0)</f>
        <v>40.2196908538199</v>
      </c>
      <c r="AB6" s="58" t="n">
        <f aca="false">D6*(1-Premissas!$C$23)*(1-Premissas!$C$24)</f>
        <v>3.06</v>
      </c>
      <c r="AC6" s="58" t="n">
        <f aca="false">D6*(1-Premissas!$C$23)*Premissas!$C$24</f>
        <v>0.34</v>
      </c>
      <c r="AD6" s="58" t="n">
        <f aca="false">D6*Premissas!$C$23*(1-Premissas!$C$24)</f>
        <v>0.54</v>
      </c>
      <c r="AE6" s="58" t="n">
        <f aca="false">D6*Premissas!$C$23*Premissas!$C$24</f>
        <v>0.06</v>
      </c>
      <c r="AF6" s="58" t="n">
        <f aca="false">AC6+IF(B6&gt;12,INDEX($AC$6:$AC$29,B6-12)*Premissas!$C$22,0)</f>
        <v>0.34</v>
      </c>
      <c r="AG6" s="58" t="n">
        <f aca="false">AE6+IF(B6&gt;12,INDEX($AE$6:$AE$29,B6-12)*Premissas!$C$22,0)</f>
        <v>0.06</v>
      </c>
      <c r="AH6" s="58" t="n">
        <f aca="false">IF(B6&gt;12,(INDEX($AC$6:$AC$29,B6-12)+INDEX($AE$6:$AE$29,B6-12))*(1-Premissas!$C$22),0)</f>
        <v>0</v>
      </c>
      <c r="AI6" s="58" t="n">
        <f aca="false">H6+J6+AF6+AG6</f>
        <v>4</v>
      </c>
      <c r="AJ6" s="59" t="str">
        <f aca="false">IF(X6&gt;0,B6,"")</f>
        <v/>
      </c>
      <c r="AK6" s="40" t="n">
        <f aca="false">H6*Premissas!$C$13+J6*Premissas!$C$14</f>
        <v>224.64</v>
      </c>
      <c r="AL6" s="40" t="n">
        <f aca="false">AF6*Premissas!$F$13+AG6*Premissas!$F$14</f>
        <v>251.4276</v>
      </c>
      <c r="AM6" s="40" t="n">
        <f aca="false">AK6+AL6</f>
        <v>476.0676</v>
      </c>
      <c r="AN6" s="40" t="n">
        <f aca="false">AM6*Premissas!$C$30</f>
        <v>28.564056</v>
      </c>
      <c r="AO6" s="40" t="n">
        <f aca="false">AM6*Premissas!$C$28+AI6*Premissas!$C$29</f>
        <v>18.622366</v>
      </c>
      <c r="AP6" s="40" t="n">
        <f aca="false">Q6</f>
        <v>2</v>
      </c>
      <c r="AQ6" s="40" t="n">
        <f aca="false">T6</f>
        <v>2195</v>
      </c>
      <c r="AR6" s="40" t="n">
        <f aca="false">U6+V6</f>
        <v>1524</v>
      </c>
      <c r="AS6" s="40" t="n">
        <f aca="false">AN6+AO6+AP6+AQ6+AR6</f>
        <v>3768.186422</v>
      </c>
      <c r="AT6" s="56" t="n">
        <f aca="false">AM6-AS6</f>
        <v>-3292.118822</v>
      </c>
      <c r="AU6" s="56" t="n">
        <f aca="false">IF(B6=1,Premissas!$C$8,N(AU5))+AT6</f>
        <v>-3292.118822</v>
      </c>
      <c r="AV6" s="40" t="n">
        <f aca="false">I6*Premissas!$F$13/12+K6*Premissas!$F$14/12</f>
        <v>20.9523</v>
      </c>
      <c r="AW6" s="40" t="n">
        <f aca="false">N(AW5)+AL6-AV6</f>
        <v>230.4753</v>
      </c>
      <c r="AX6" s="1"/>
      <c r="AY6" s="51" t="n">
        <f aca="false">1</f>
        <v>1</v>
      </c>
      <c r="AZ6" s="52" t="n">
        <f aca="false">EDATE(Premissas!$C$7,AY6-1)</f>
        <v>46296</v>
      </c>
      <c r="BA6" s="53" t="n">
        <f aca="false">Premissas!$D$19*(1+Premissas!$D$20)^(AY6-1)</f>
        <v>8</v>
      </c>
      <c r="BB6" s="54" t="n">
        <f aca="false">IFERROR(BA6/Premissas!$D$25,0)</f>
        <v>40</v>
      </c>
      <c r="BC6" s="53" t="n">
        <f aca="false">(N(BE5)+N(BG5))*Premissas!$D$21+CE6</f>
        <v>0</v>
      </c>
      <c r="BD6" s="55" t="n">
        <f aca="false">BE6+BF6+BG6+BH6</f>
        <v>8</v>
      </c>
      <c r="BE6" s="53" t="n">
        <f aca="false">N(BE5)*(1-Premissas!$D$21)+BY6</f>
        <v>4.8</v>
      </c>
      <c r="BF6" s="53" t="n">
        <f aca="false">SUM(INDEX($CC$6:$CC$29,MAX(1,AY6-11)):INDEX($CC$6:$CC$29,AY6))</f>
        <v>1.2</v>
      </c>
      <c r="BG6" s="53" t="n">
        <f aca="false">N(BG5)*(1-Premissas!$D$21)+CA6</f>
        <v>1.6</v>
      </c>
      <c r="BH6" s="53" t="n">
        <f aca="false">SUM(INDEX($CD$6:$CD$29,MAX(1,AY6-11)):INDEX($CD$6:$CD$29,AY6))</f>
        <v>0.4</v>
      </c>
      <c r="BI6" s="56" t="n">
        <f aca="false">BE6*Premissas!$C$13+BF6*Premissas!$F$13/12+BG6*Premissas!$C$14+BH6*Premissas!$F$14/12</f>
        <v>505.746</v>
      </c>
      <c r="BJ6" s="40" t="n">
        <f aca="false">BI6*12</f>
        <v>6068.952</v>
      </c>
      <c r="BK6" s="40" t="n">
        <f aca="false">IFERROR(BI6/BD6,0)</f>
        <v>63.21825</v>
      </c>
      <c r="BL6" s="40" t="n">
        <f aca="false">BI6*Premissas!$C$30</f>
        <v>30.34476</v>
      </c>
      <c r="BM6" s="40" t="n">
        <f aca="false">BI6*Premissas!$C$28+CF6*Premissas!$C$29</f>
        <v>21.62111</v>
      </c>
      <c r="BN6" s="40" t="n">
        <f aca="false">BD6*Premissas!$C$31</f>
        <v>4</v>
      </c>
      <c r="BO6" s="40" t="n">
        <f aca="false">BI6-BL6-BM6-BN6</f>
        <v>449.78013</v>
      </c>
      <c r="BP6" s="57" t="n">
        <f aca="false">IFERROR(BO6/BI6,0)</f>
        <v>0.889339965120832</v>
      </c>
      <c r="BQ6" s="40" t="n">
        <f aca="false">SUMPRODUCT(Premissas!$C$42:$C$61,--(Premissas!$D$42:$D$61&lt;=AY6))</f>
        <v>2195</v>
      </c>
      <c r="BR6" s="40" t="n">
        <f aca="false">Premissas!$C$34*(1+Premissas!$C$35)^(AY6-1)</f>
        <v>1500</v>
      </c>
      <c r="BS6" s="40" t="n">
        <f aca="false">BA6*Premissas!$C$36*Premissas!$C$37</f>
        <v>48</v>
      </c>
      <c r="BT6" s="40" t="n">
        <f aca="false">BL6+BM6+BN6+BQ6+BR6+BS6</f>
        <v>3798.96587</v>
      </c>
      <c r="BU6" s="56" t="n">
        <f aca="false">BI6-BT6</f>
        <v>-3293.21987</v>
      </c>
      <c r="BV6" s="40" t="n">
        <f aca="false">N(BV5)+BU6</f>
        <v>-3293.21987</v>
      </c>
      <c r="BW6" s="40" t="n">
        <f aca="false">IFERROR((BR6+BS6)/BA6,0)</f>
        <v>193.5</v>
      </c>
      <c r="BX6" s="54" t="n">
        <f aca="false">IFERROR(BQ6/(BO6/BD6),0)</f>
        <v>39.0412978003275</v>
      </c>
      <c r="BY6" s="58" t="n">
        <f aca="false">BA6*(1-Premissas!$D$23)*(1-Premissas!$D$24)</f>
        <v>4.8</v>
      </c>
      <c r="BZ6" s="58" t="n">
        <f aca="false">BA6*(1-Premissas!$D$23)*Premissas!$D$24</f>
        <v>1.2</v>
      </c>
      <c r="CA6" s="58" t="n">
        <f aca="false">BA6*Premissas!$D$23*(1-Premissas!$D$24)</f>
        <v>1.6</v>
      </c>
      <c r="CB6" s="58" t="n">
        <f aca="false">BA6*Premissas!$D$23*Premissas!$D$24</f>
        <v>0.4</v>
      </c>
      <c r="CC6" s="58" t="n">
        <f aca="false">BZ6+IF(AY6&gt;12,INDEX($BZ$6:$BZ$29,AY6-12)*Premissas!$D$22,0)</f>
        <v>1.2</v>
      </c>
      <c r="CD6" s="58" t="n">
        <f aca="false">CB6+IF(AY6&gt;12,INDEX($CB$6:$CB$29,AY6-12)*Premissas!$D$22,0)</f>
        <v>0.4</v>
      </c>
      <c r="CE6" s="58" t="n">
        <f aca="false">IF(AY6&gt;12,(INDEX($BZ$6:$BZ$29,AY6-12)+INDEX($CB$6:$CB$29,AY6-12))*(1-Premissas!$D$22),0)</f>
        <v>0</v>
      </c>
      <c r="CF6" s="58" t="n">
        <f aca="false">BE6+BG6+CC6+CD6</f>
        <v>8</v>
      </c>
      <c r="CG6" s="59" t="str">
        <f aca="false">IF(BU6&gt;0,AY6,"")</f>
        <v/>
      </c>
      <c r="CH6" s="40" t="n">
        <f aca="false">BE6*Premissas!$C$13+BG6*Premissas!$C$14</f>
        <v>418.56</v>
      </c>
      <c r="CI6" s="40" t="n">
        <f aca="false">CC6*Premissas!$F$13+CD6*Premissas!$F$14</f>
        <v>1046.232</v>
      </c>
      <c r="CJ6" s="40" t="n">
        <f aca="false">CH6+CI6</f>
        <v>1464.792</v>
      </c>
      <c r="CK6" s="40" t="n">
        <f aca="false">CJ6*Premissas!$C$30</f>
        <v>87.88752</v>
      </c>
      <c r="CL6" s="40" t="n">
        <f aca="false">CJ6*Premissas!$C$28+CF6*Premissas!$C$29</f>
        <v>55.18772</v>
      </c>
      <c r="CM6" s="40" t="n">
        <f aca="false">BN6</f>
        <v>4</v>
      </c>
      <c r="CN6" s="40" t="n">
        <f aca="false">BQ6</f>
        <v>2195</v>
      </c>
      <c r="CO6" s="40" t="n">
        <f aca="false">BR6+BS6</f>
        <v>1548</v>
      </c>
      <c r="CP6" s="40" t="n">
        <f aca="false">CK6+CL6+CM6+CN6+CO6</f>
        <v>3890.07524</v>
      </c>
      <c r="CQ6" s="56" t="n">
        <f aca="false">CJ6-CP6</f>
        <v>-2425.28324</v>
      </c>
      <c r="CR6" s="56" t="n">
        <f aca="false">IF(AY6=1,Premissas!$C$8,N(CR5))+CQ6</f>
        <v>-2425.28324</v>
      </c>
      <c r="CS6" s="40" t="n">
        <f aca="false">BF6*Premissas!$F$13/12+BH6*Premissas!$F$14/12</f>
        <v>87.186</v>
      </c>
      <c r="CT6" s="40" t="n">
        <f aca="false">N(CT5)+CI6-CS6</f>
        <v>959.046</v>
      </c>
      <c r="CU6" s="1"/>
      <c r="CV6" s="51" t="n">
        <f aca="false">1</f>
        <v>1</v>
      </c>
      <c r="CW6" s="52" t="n">
        <f aca="false">EDATE(Premissas!$C$7,CV6-1)</f>
        <v>46296</v>
      </c>
      <c r="CX6" s="53" t="n">
        <f aca="false">Premissas!$E$19*(1+Premissas!$E$20)^(CV6-1)</f>
        <v>15</v>
      </c>
      <c r="CY6" s="54" t="n">
        <f aca="false">IFERROR(CX6/Premissas!$E$25,0)</f>
        <v>50</v>
      </c>
      <c r="CZ6" s="53" t="n">
        <f aca="false">(N(DB5)+N(DD5))*Premissas!$E$21+EB6</f>
        <v>0</v>
      </c>
      <c r="DA6" s="55" t="n">
        <f aca="false">DB6+DC6+DD6+DE6</f>
        <v>15</v>
      </c>
      <c r="DB6" s="53" t="n">
        <f aca="false">N(DB5)*(1-Premissas!$E$21)+DV6</f>
        <v>6.825</v>
      </c>
      <c r="DC6" s="53" t="n">
        <f aca="false">SUM(INDEX($DZ$6:$DZ$29,MAX(1,CV6-11)):INDEX($DZ$6:$DZ$29,CV6))</f>
        <v>2.925</v>
      </c>
      <c r="DD6" s="53" t="n">
        <f aca="false">N(DD5)*(1-Premissas!$E$21)+DX6</f>
        <v>3.675</v>
      </c>
      <c r="DE6" s="53" t="n">
        <f aca="false">SUM(INDEX($EA$6:$EA$29,MAX(1,CV6-11)):INDEX($EA$6:$EA$29,CV6))</f>
        <v>1.575</v>
      </c>
      <c r="DF6" s="56" t="n">
        <f aca="false">DB6*Premissas!$C$13+DC6*Premissas!$F$13/12+DD6*Premissas!$C$14+DE6*Premissas!$F$14/12</f>
        <v>972.907875</v>
      </c>
      <c r="DG6" s="40" t="n">
        <f aca="false">DF6*12</f>
        <v>11674.8945</v>
      </c>
      <c r="DH6" s="40" t="n">
        <f aca="false">IFERROR(DF6/DA6,0)</f>
        <v>64.860525</v>
      </c>
      <c r="DI6" s="40" t="n">
        <f aca="false">DF6*Premissas!$C$30</f>
        <v>58.3744725</v>
      </c>
      <c r="DJ6" s="40" t="n">
        <f aca="false">DF6*Premissas!$C$28+EC6*Premissas!$C$29</f>
        <v>41.401775625</v>
      </c>
      <c r="DK6" s="40" t="n">
        <f aca="false">DA6*Premissas!$C$31</f>
        <v>7.5</v>
      </c>
      <c r="DL6" s="40" t="n">
        <f aca="false">DF6-DI6-DJ6-DK6</f>
        <v>865.631626875</v>
      </c>
      <c r="DM6" s="57" t="n">
        <f aca="false">IFERROR(DL6/DF6,0)</f>
        <v>0.889736478775033</v>
      </c>
      <c r="DN6" s="40" t="n">
        <f aca="false">SUMPRODUCT(Premissas!$C$42:$C$61,--(Premissas!$D$42:$D$61&lt;=CV6))</f>
        <v>2195</v>
      </c>
      <c r="DO6" s="40" t="n">
        <f aca="false">Premissas!$C$34*(1+Premissas!$C$35)^(CV6-1)</f>
        <v>1500</v>
      </c>
      <c r="DP6" s="40" t="n">
        <f aca="false">CX6*Premissas!$C$36*Premissas!$C$37</f>
        <v>90</v>
      </c>
      <c r="DQ6" s="40" t="n">
        <f aca="false">DI6+DJ6+DK6+DN6+DO6+DP6</f>
        <v>3892.276248125</v>
      </c>
      <c r="DR6" s="56" t="n">
        <f aca="false">DF6-DQ6</f>
        <v>-2919.368373125</v>
      </c>
      <c r="DS6" s="40" t="n">
        <f aca="false">N(DS5)+DR6</f>
        <v>-2919.368373125</v>
      </c>
      <c r="DT6" s="40" t="n">
        <f aca="false">IFERROR((DO6+DP6)/CX6,0)</f>
        <v>106</v>
      </c>
      <c r="DU6" s="54" t="n">
        <f aca="false">IFERROR(DN6/(DL6/DA6),0)</f>
        <v>38.035809896251</v>
      </c>
      <c r="DV6" s="58" t="n">
        <f aca="false">CX6*(1-Premissas!$E$23)*(1-Premissas!$E$24)</f>
        <v>6.825</v>
      </c>
      <c r="DW6" s="58" t="n">
        <f aca="false">CX6*(1-Premissas!$E$23)*Premissas!$E$24</f>
        <v>2.925</v>
      </c>
      <c r="DX6" s="58" t="n">
        <f aca="false">CX6*Premissas!$E$23*(1-Premissas!$E$24)</f>
        <v>3.675</v>
      </c>
      <c r="DY6" s="58" t="n">
        <f aca="false">CX6*Premissas!$E$23*Premissas!$E$24</f>
        <v>1.575</v>
      </c>
      <c r="DZ6" s="58" t="n">
        <f aca="false">DW6+IF(CV6&gt;12,INDEX($DW$6:$DW$29,CV6-12)*Premissas!$E$22,0)</f>
        <v>2.925</v>
      </c>
      <c r="EA6" s="58" t="n">
        <f aca="false">DY6+IF(CV6&gt;12,INDEX($DY$6:$DY$29,CV6-12)*Premissas!$E$22,0)</f>
        <v>1.575</v>
      </c>
      <c r="EB6" s="58" t="n">
        <f aca="false">IF(CV6&gt;12,(INDEX($DW$6:$DW$29,CV6-12)+INDEX($DY$6:$DY$29,CV6-12))*(1-Premissas!$E$22),0)</f>
        <v>0</v>
      </c>
      <c r="EC6" s="58" t="n">
        <f aca="false">DB6+DD6+DZ6+EA6</f>
        <v>15</v>
      </c>
      <c r="ED6" s="59" t="str">
        <f aca="false">IF(DR6&gt;0,CV6,"")</f>
        <v/>
      </c>
      <c r="EE6" s="40" t="n">
        <f aca="false">DB6*Premissas!$C$13+DD6*Premissas!$C$14</f>
        <v>718.2</v>
      </c>
      <c r="EF6" s="40" t="n">
        <f aca="false">DZ6*Premissas!$F$13+EA6*Premissas!$F$14</f>
        <v>3056.4945</v>
      </c>
      <c r="EG6" s="40" t="n">
        <f aca="false">EE6+EF6</f>
        <v>3774.6945</v>
      </c>
      <c r="EH6" s="40" t="n">
        <f aca="false">EG6*Premissas!$C$30</f>
        <v>226.48167</v>
      </c>
      <c r="EI6" s="40" t="n">
        <f aca="false">EG6*Premissas!$C$28+EC6*Premissas!$C$29</f>
        <v>139.4643075</v>
      </c>
      <c r="EJ6" s="40" t="n">
        <f aca="false">DK6</f>
        <v>7.5</v>
      </c>
      <c r="EK6" s="40" t="n">
        <f aca="false">DN6</f>
        <v>2195</v>
      </c>
      <c r="EL6" s="40" t="n">
        <f aca="false">DO6+DP6</f>
        <v>1590</v>
      </c>
      <c r="EM6" s="40" t="n">
        <f aca="false">EH6+EI6+EJ6+EK6+EL6</f>
        <v>4158.4459775</v>
      </c>
      <c r="EN6" s="56" t="n">
        <f aca="false">EG6-EM6</f>
        <v>-383.7514775</v>
      </c>
      <c r="EO6" s="56" t="n">
        <f aca="false">IF(CV6=1,Premissas!$C$8,N(EO5))+EN6</f>
        <v>-383.7514775</v>
      </c>
      <c r="EP6" s="40" t="n">
        <f aca="false">DC6*Premissas!$F$13/12+DE6*Premissas!$F$14/12</f>
        <v>254.707875</v>
      </c>
      <c r="EQ6" s="40" t="n">
        <f aca="false">N(EQ5)+EF6-EP6</f>
        <v>2801.786625</v>
      </c>
      <c r="ER6" s="1"/>
      <c r="ES6" s="1"/>
      <c r="ET6" s="1"/>
      <c r="EU6" s="1"/>
      <c r="EV6" s="1"/>
      <c r="EW6" s="1"/>
      <c r="EX6" s="1"/>
      <c r="EY6" s="1"/>
    </row>
    <row r="7" customFormat="false" ht="15" hidden="false" customHeight="false" outlineLevel="0" collapsed="false">
      <c r="A7" s="1"/>
      <c r="B7" s="51" t="n">
        <f aca="false">B6+1</f>
        <v>2</v>
      </c>
      <c r="C7" s="52" t="n">
        <f aca="false">EDATE(Premissas!$C$7,B7-1)</f>
        <v>46327</v>
      </c>
      <c r="D7" s="53" t="n">
        <f aca="false">Premissas!$C$19*(1+Premissas!$C$20)^(B7-1)</f>
        <v>4.12</v>
      </c>
      <c r="E7" s="54" t="n">
        <f aca="false">IFERROR(D7/Premissas!$C$25,0)</f>
        <v>41.2</v>
      </c>
      <c r="F7" s="53" t="n">
        <f aca="false">(N(H6)+N(J6))*Premissas!$C$21+AH7</f>
        <v>0.288</v>
      </c>
      <c r="G7" s="55" t="n">
        <f aca="false">H7+I7+J7+K7</f>
        <v>7.832</v>
      </c>
      <c r="H7" s="53" t="n">
        <f aca="false">N(H6)*(1-Premissas!$C$21)+AB7</f>
        <v>5.967</v>
      </c>
      <c r="I7" s="53" t="n">
        <f aca="false">SUM(INDEX($AF$6:$AF$29,MAX(1,B7-11)):INDEX($AF$6:$AF$29,B7))</f>
        <v>0.6902</v>
      </c>
      <c r="J7" s="53" t="n">
        <f aca="false">N(J6)*(1-Premissas!$C$21)+AD7</f>
        <v>1.053</v>
      </c>
      <c r="K7" s="53" t="n">
        <f aca="false">SUM(INDEX($AG$6:$AG$29,MAX(1,B7-11)):INDEX($AG$6:$AG$29,B7))</f>
        <v>0.1218</v>
      </c>
      <c r="L7" s="56" t="n">
        <f aca="false">H7*Premissas!$C$13+I7*Premissas!$F$13/12+J7*Premissas!$C$14+K7*Premissas!$F$14/12</f>
        <v>480.581169</v>
      </c>
      <c r="M7" s="40" t="n">
        <f aca="false">L7*12</f>
        <v>5766.974028</v>
      </c>
      <c r="N7" s="40" t="n">
        <f aca="false">IFERROR(L7/G7,0)</f>
        <v>61.3612319969357</v>
      </c>
      <c r="O7" s="40" t="n">
        <f aca="false">L7*Premissas!$C$30</f>
        <v>28.83487014</v>
      </c>
      <c r="P7" s="40" t="n">
        <f aca="false">L7*Premissas!$C$28+AI7*Premissas!$C$29</f>
        <v>20.462020915</v>
      </c>
      <c r="Q7" s="40" t="n">
        <f aca="false">G7*Premissas!$C$31</f>
        <v>3.916</v>
      </c>
      <c r="R7" s="40" t="n">
        <f aca="false">L7-O7-P7-Q7</f>
        <v>427.368277945</v>
      </c>
      <c r="S7" s="57" t="n">
        <f aca="false">IFERROR(R7/L7,0)</f>
        <v>0.88927387403521</v>
      </c>
      <c r="T7" s="40" t="n">
        <f aca="false">SUMPRODUCT(Premissas!$C$42:$C$61,--(Premissas!$D$42:$D$61&lt;=B7))</f>
        <v>2195</v>
      </c>
      <c r="U7" s="40" t="n">
        <f aca="false">Premissas!$C$34*(1+Premissas!$C$35)^(B7-1)</f>
        <v>1545</v>
      </c>
      <c r="V7" s="40" t="n">
        <f aca="false">D7*Premissas!$C$36*Premissas!$C$37</f>
        <v>24.72</v>
      </c>
      <c r="W7" s="40" t="n">
        <f aca="false">O7+P7+Q7+T7+U7+V7</f>
        <v>3817.932891055</v>
      </c>
      <c r="X7" s="56" t="n">
        <f aca="false">L7-W7</f>
        <v>-3337.351722055</v>
      </c>
      <c r="Y7" s="40" t="n">
        <f aca="false">N(Y6)+X7</f>
        <v>-6838.050690555</v>
      </c>
      <c r="Z7" s="40" t="n">
        <f aca="false">IFERROR((U7+V7)/D7,0)</f>
        <v>381</v>
      </c>
      <c r="AA7" s="54" t="n">
        <f aca="false">IFERROR(T7/(R7/G7),0)</f>
        <v>40.2258213517018</v>
      </c>
      <c r="AB7" s="58" t="n">
        <f aca="false">D7*(1-Premissas!$C$23)*(1-Premissas!$C$24)</f>
        <v>3.1518</v>
      </c>
      <c r="AC7" s="58" t="n">
        <f aca="false">D7*(1-Premissas!$C$23)*Premissas!$C$24</f>
        <v>0.3502</v>
      </c>
      <c r="AD7" s="58" t="n">
        <f aca="false">D7*Premissas!$C$23*(1-Premissas!$C$24)</f>
        <v>0.5562</v>
      </c>
      <c r="AE7" s="58" t="n">
        <f aca="false">D7*Premissas!$C$23*Premissas!$C$24</f>
        <v>0.0618</v>
      </c>
      <c r="AF7" s="58" t="n">
        <f aca="false">AC7+IF(B7&gt;12,INDEX($AC$6:$AC$29,B7-12)*Premissas!$C$22,0)</f>
        <v>0.3502</v>
      </c>
      <c r="AG7" s="58" t="n">
        <f aca="false">AE7+IF(B7&gt;12,INDEX($AE$6:$AE$29,B7-12)*Premissas!$C$22,0)</f>
        <v>0.0618</v>
      </c>
      <c r="AH7" s="58" t="n">
        <f aca="false">IF(B7&gt;12,(INDEX($AC$6:$AC$29,B7-12)+INDEX($AE$6:$AE$29,B7-12))*(1-Premissas!$C$22),0)</f>
        <v>0</v>
      </c>
      <c r="AI7" s="58" t="n">
        <f aca="false">H7+J7+AF7+AG7</f>
        <v>7.432</v>
      </c>
      <c r="AJ7" s="59" t="str">
        <f aca="false">IF(X7&gt;0,B7,"")</f>
        <v/>
      </c>
      <c r="AK7" s="40" t="n">
        <f aca="false">H7*Premissas!$C$13+J7*Premissas!$C$14</f>
        <v>438.048</v>
      </c>
      <c r="AL7" s="40" t="n">
        <f aca="false">AF7*Premissas!$F$13+AG7*Premissas!$F$14</f>
        <v>258.970428</v>
      </c>
      <c r="AM7" s="40" t="n">
        <f aca="false">AK7+AL7</f>
        <v>697.018428</v>
      </c>
      <c r="AN7" s="40" t="n">
        <f aca="false">AM7*Premissas!$C$30</f>
        <v>41.82110568</v>
      </c>
      <c r="AO7" s="40" t="n">
        <f aca="false">AM7*Premissas!$C$28+AI7*Premissas!$C$29</f>
        <v>28.03732498</v>
      </c>
      <c r="AP7" s="40" t="n">
        <f aca="false">Q7</f>
        <v>3.916</v>
      </c>
      <c r="AQ7" s="40" t="n">
        <f aca="false">T7</f>
        <v>2195</v>
      </c>
      <c r="AR7" s="40" t="n">
        <f aca="false">U7+V7</f>
        <v>1569.72</v>
      </c>
      <c r="AS7" s="40" t="n">
        <f aca="false">AN7+AO7+AP7+AQ7+AR7</f>
        <v>3838.49443066</v>
      </c>
      <c r="AT7" s="56" t="n">
        <f aca="false">AM7-AS7</f>
        <v>-3141.47600266</v>
      </c>
      <c r="AU7" s="56" t="n">
        <f aca="false">IF(B7=1,Premissas!$C$8,N(AU6))+AT7</f>
        <v>-6433.59482466</v>
      </c>
      <c r="AV7" s="40" t="n">
        <f aca="false">I7*Premissas!$F$13/12+K7*Premissas!$F$14/12</f>
        <v>42.533169</v>
      </c>
      <c r="AW7" s="40" t="n">
        <f aca="false">N(AW6)+AL7-AV7</f>
        <v>446.912559</v>
      </c>
      <c r="AX7" s="1"/>
      <c r="AY7" s="51" t="n">
        <f aca="false">AY6+1</f>
        <v>2</v>
      </c>
      <c r="AZ7" s="52" t="n">
        <f aca="false">EDATE(Premissas!$C$7,AY7-1)</f>
        <v>46327</v>
      </c>
      <c r="BA7" s="53" t="n">
        <f aca="false">Premissas!$D$19*(1+Premissas!$D$20)^(AY7-1)</f>
        <v>8.56</v>
      </c>
      <c r="BB7" s="54" t="n">
        <f aca="false">IFERROR(BA7/Premissas!$D$25,0)</f>
        <v>42.8</v>
      </c>
      <c r="BC7" s="53" t="n">
        <f aca="false">(N(BE6)+N(BG6))*Premissas!$D$21+CE7</f>
        <v>0.32</v>
      </c>
      <c r="BD7" s="55" t="n">
        <f aca="false">BE7+BF7+BG7+BH7</f>
        <v>16.24</v>
      </c>
      <c r="BE7" s="53" t="n">
        <f aca="false">N(BE6)*(1-Premissas!$D$21)+BY7</f>
        <v>9.696</v>
      </c>
      <c r="BF7" s="53" t="n">
        <f aca="false">SUM(INDEX($CC$6:$CC$29,MAX(1,AY7-11)):INDEX($CC$6:$CC$29,AY7))</f>
        <v>2.484</v>
      </c>
      <c r="BG7" s="53" t="n">
        <f aca="false">N(BG6)*(1-Premissas!$D$21)+CA7</f>
        <v>3.232</v>
      </c>
      <c r="BH7" s="53" t="n">
        <f aca="false">SUM(INDEX($CD$6:$CD$29,MAX(1,AY7-11)):INDEX($CD$6:$CD$29,AY7))</f>
        <v>0.828</v>
      </c>
      <c r="BI7" s="56" t="n">
        <f aca="false">BE7*Premissas!$C$13+BF7*Premissas!$F$13/12+BG7*Premissas!$C$14+BH7*Premissas!$F$14/12</f>
        <v>1025.96622</v>
      </c>
      <c r="BJ7" s="40" t="n">
        <f aca="false">BI7*12</f>
        <v>12311.59464</v>
      </c>
      <c r="BK7" s="40" t="n">
        <f aca="false">IFERROR(BI7/BD7,0)</f>
        <v>63.1752598522167</v>
      </c>
      <c r="BL7" s="40" t="n">
        <f aca="false">BI7*Premissas!$C$30</f>
        <v>61.5579732</v>
      </c>
      <c r="BM7" s="40" t="n">
        <f aca="false">BI7*Premissas!$C$28+CF7*Premissas!$C$29</f>
        <v>43.0824177</v>
      </c>
      <c r="BN7" s="40" t="n">
        <f aca="false">BD7*Premissas!$C$31</f>
        <v>8.12</v>
      </c>
      <c r="BO7" s="40" t="n">
        <f aca="false">BI7-BL7-BM7-BN7</f>
        <v>913.2058291</v>
      </c>
      <c r="BP7" s="57" t="n">
        <f aca="false">IFERROR(BO7/BI7,0)</f>
        <v>0.890093466332644</v>
      </c>
      <c r="BQ7" s="40" t="n">
        <f aca="false">SUMPRODUCT(Premissas!$C$42:$C$61,--(Premissas!$D$42:$D$61&lt;=AY7))</f>
        <v>2195</v>
      </c>
      <c r="BR7" s="40" t="n">
        <f aca="false">Premissas!$C$34*(1+Premissas!$C$35)^(AY7-1)</f>
        <v>1545</v>
      </c>
      <c r="BS7" s="40" t="n">
        <f aca="false">BA7*Premissas!$C$36*Premissas!$C$37</f>
        <v>51.36</v>
      </c>
      <c r="BT7" s="40" t="n">
        <f aca="false">BL7+BM7+BN7+BQ7+BR7+BS7</f>
        <v>3904.1203909</v>
      </c>
      <c r="BU7" s="56" t="n">
        <f aca="false">BI7-BT7</f>
        <v>-2878.1541709</v>
      </c>
      <c r="BV7" s="40" t="n">
        <f aca="false">N(BV6)+BU7</f>
        <v>-6171.3740409</v>
      </c>
      <c r="BW7" s="40" t="n">
        <f aca="false">IFERROR((BR7+BS7)/BA7,0)</f>
        <v>186.490654205607</v>
      </c>
      <c r="BX7" s="54" t="n">
        <f aca="false">IFERROR(BQ7/(BO7/BD7),0)</f>
        <v>39.0347924466616</v>
      </c>
      <c r="BY7" s="58" t="n">
        <f aca="false">BA7*(1-Premissas!$D$23)*(1-Premissas!$D$24)</f>
        <v>5.136</v>
      </c>
      <c r="BZ7" s="58" t="n">
        <f aca="false">BA7*(1-Premissas!$D$23)*Premissas!$D$24</f>
        <v>1.284</v>
      </c>
      <c r="CA7" s="58" t="n">
        <f aca="false">BA7*Premissas!$D$23*(1-Premissas!$D$24)</f>
        <v>1.712</v>
      </c>
      <c r="CB7" s="58" t="n">
        <f aca="false">BA7*Premissas!$D$23*Premissas!$D$24</f>
        <v>0.428</v>
      </c>
      <c r="CC7" s="58" t="n">
        <f aca="false">BZ7+IF(AY7&gt;12,INDEX($BZ$6:$BZ$29,AY7-12)*Premissas!$D$22,0)</f>
        <v>1.284</v>
      </c>
      <c r="CD7" s="58" t="n">
        <f aca="false">CB7+IF(AY7&gt;12,INDEX($CB$6:$CB$29,AY7-12)*Premissas!$D$22,0)</f>
        <v>0.428</v>
      </c>
      <c r="CE7" s="58" t="n">
        <f aca="false">IF(AY7&gt;12,(INDEX($BZ$6:$BZ$29,AY7-12)+INDEX($CB$6:$CB$29,AY7-12))*(1-Premissas!$D$22),0)</f>
        <v>0</v>
      </c>
      <c r="CF7" s="58" t="n">
        <f aca="false">BE7+BG7+CC7+CD7</f>
        <v>14.64</v>
      </c>
      <c r="CG7" s="59" t="str">
        <f aca="false">IF(BU7&gt;0,AY7,"")</f>
        <v/>
      </c>
      <c r="CH7" s="40" t="n">
        <f aca="false">BE7*Premissas!$C$13+BG7*Premissas!$C$14</f>
        <v>845.4912</v>
      </c>
      <c r="CI7" s="40" t="n">
        <f aca="false">CC7*Premissas!$F$13+CD7*Premissas!$F$14</f>
        <v>1119.46824</v>
      </c>
      <c r="CJ7" s="40" t="n">
        <f aca="false">CH7+CI7</f>
        <v>1964.95944</v>
      </c>
      <c r="CK7" s="40" t="n">
        <f aca="false">CJ7*Premissas!$C$30</f>
        <v>117.8975664</v>
      </c>
      <c r="CL7" s="40" t="n">
        <f aca="false">CJ7*Premissas!$C$28+CF7*Premissas!$C$29</f>
        <v>75.9471804</v>
      </c>
      <c r="CM7" s="40" t="n">
        <f aca="false">BN7</f>
        <v>8.12</v>
      </c>
      <c r="CN7" s="40" t="n">
        <f aca="false">BQ7</f>
        <v>2195</v>
      </c>
      <c r="CO7" s="40" t="n">
        <f aca="false">BR7+BS7</f>
        <v>1596.36</v>
      </c>
      <c r="CP7" s="40" t="n">
        <f aca="false">CK7+CL7+CM7+CN7+CO7</f>
        <v>3993.3247468</v>
      </c>
      <c r="CQ7" s="56" t="n">
        <f aca="false">CJ7-CP7</f>
        <v>-2028.3653068</v>
      </c>
      <c r="CR7" s="56" t="n">
        <f aca="false">IF(AY7=1,Premissas!$C$8,N(CR6))+CQ7</f>
        <v>-4453.6485468</v>
      </c>
      <c r="CS7" s="40" t="n">
        <f aca="false">BF7*Premissas!$F$13/12+BH7*Premissas!$F$14/12</f>
        <v>180.47502</v>
      </c>
      <c r="CT7" s="40" t="n">
        <f aca="false">N(CT6)+CI7-CS7</f>
        <v>1898.03922</v>
      </c>
      <c r="CU7" s="1"/>
      <c r="CV7" s="51" t="n">
        <f aca="false">CV6+1</f>
        <v>2</v>
      </c>
      <c r="CW7" s="52" t="n">
        <f aca="false">EDATE(Premissas!$C$7,CV7-1)</f>
        <v>46327</v>
      </c>
      <c r="CX7" s="53" t="n">
        <f aca="false">Premissas!$E$19*(1+Premissas!$E$20)^(CV7-1)</f>
        <v>16.8</v>
      </c>
      <c r="CY7" s="54" t="n">
        <f aca="false">IFERROR(CX7/Premissas!$E$25,0)</f>
        <v>56</v>
      </c>
      <c r="CZ7" s="53" t="n">
        <f aca="false">(N(DB6)+N(DD6))*Premissas!$E$21+EB7</f>
        <v>0.315</v>
      </c>
      <c r="DA7" s="55" t="n">
        <f aca="false">DB7+DC7+DD7+DE7</f>
        <v>31.485</v>
      </c>
      <c r="DB7" s="53" t="n">
        <f aca="false">N(DB6)*(1-Premissas!$E$21)+DV7</f>
        <v>14.26425</v>
      </c>
      <c r="DC7" s="53" t="n">
        <f aca="false">SUM(INDEX($DZ$6:$DZ$29,MAX(1,CV7-11)):INDEX($DZ$6:$DZ$29,CV7))</f>
        <v>6.201</v>
      </c>
      <c r="DD7" s="53" t="n">
        <f aca="false">N(DD6)*(1-Premissas!$E$21)+DX7</f>
        <v>7.68075</v>
      </c>
      <c r="DE7" s="53" t="n">
        <f aca="false">SUM(INDEX($EA$6:$EA$29,MAX(1,CV7-11)):INDEX($EA$6:$EA$29,CV7))</f>
        <v>3.339</v>
      </c>
      <c r="DF7" s="56" t="n">
        <f aca="false">DB7*Premissas!$C$13+DC7*Premissas!$F$13/12+DD7*Premissas!$C$14+DE7*Premissas!$F$14/12</f>
        <v>2041.018695</v>
      </c>
      <c r="DG7" s="40" t="n">
        <f aca="false">DF7*12</f>
        <v>24492.22434</v>
      </c>
      <c r="DH7" s="40" t="n">
        <f aca="false">IFERROR(DF7/DA7,0)</f>
        <v>64.8251133873273</v>
      </c>
      <c r="DI7" s="40" t="n">
        <f aca="false">DF7*Premissas!$C$30</f>
        <v>122.4611217</v>
      </c>
      <c r="DJ7" s="40" t="n">
        <f aca="false">DF7*Premissas!$C$28+EC7*Premissas!$C$29</f>
        <v>84.658304325</v>
      </c>
      <c r="DK7" s="40" t="n">
        <f aca="false">DA7*Premissas!$C$31</f>
        <v>15.7425</v>
      </c>
      <c r="DL7" s="40" t="n">
        <f aca="false">DF7-DI7-DJ7-DK7</f>
        <v>1818.156768975</v>
      </c>
      <c r="DM7" s="57" t="n">
        <f aca="false">IFERROR(DL7/DF7,0)</f>
        <v>0.890808483738558</v>
      </c>
      <c r="DN7" s="40" t="n">
        <f aca="false">SUMPRODUCT(Premissas!$C$42:$C$61,--(Premissas!$D$42:$D$61&lt;=CV7))</f>
        <v>2195</v>
      </c>
      <c r="DO7" s="40" t="n">
        <f aca="false">Premissas!$C$34*(1+Premissas!$C$35)^(CV7-1)</f>
        <v>1545</v>
      </c>
      <c r="DP7" s="40" t="n">
        <f aca="false">CX7*Premissas!$C$36*Premissas!$C$37</f>
        <v>100.8</v>
      </c>
      <c r="DQ7" s="40" t="n">
        <f aca="false">DI7+DJ7+DK7+DN7+DO7+DP7</f>
        <v>4063.661926025</v>
      </c>
      <c r="DR7" s="56" t="n">
        <f aca="false">DF7-DQ7</f>
        <v>-2022.643231025</v>
      </c>
      <c r="DS7" s="40" t="n">
        <f aca="false">N(DS6)+DR7</f>
        <v>-4942.01160415</v>
      </c>
      <c r="DT7" s="40" t="n">
        <f aca="false">IFERROR((DO7+DP7)/CX7,0)</f>
        <v>97.9642857142857</v>
      </c>
      <c r="DU7" s="54" t="n">
        <f aca="false">IFERROR(DN7/(DL7/DA7),0)</f>
        <v>38.010789927076</v>
      </c>
      <c r="DV7" s="58" t="n">
        <f aca="false">CX7*(1-Premissas!$E$23)*(1-Premissas!$E$24)</f>
        <v>7.644</v>
      </c>
      <c r="DW7" s="58" t="n">
        <f aca="false">CX7*(1-Premissas!$E$23)*Premissas!$E$24</f>
        <v>3.276</v>
      </c>
      <c r="DX7" s="58" t="n">
        <f aca="false">CX7*Premissas!$E$23*(1-Premissas!$E$24)</f>
        <v>4.116</v>
      </c>
      <c r="DY7" s="58" t="n">
        <f aca="false">CX7*Premissas!$E$23*Premissas!$E$24</f>
        <v>1.764</v>
      </c>
      <c r="DZ7" s="58" t="n">
        <f aca="false">DW7+IF(CV7&gt;12,INDEX($DW$6:$DW$29,CV7-12)*Premissas!$E$22,0)</f>
        <v>3.276</v>
      </c>
      <c r="EA7" s="58" t="n">
        <f aca="false">DY7+IF(CV7&gt;12,INDEX($DY$6:$DY$29,CV7-12)*Premissas!$E$22,0)</f>
        <v>1.764</v>
      </c>
      <c r="EB7" s="58" t="n">
        <f aca="false">IF(CV7&gt;12,(INDEX($DW$6:$DW$29,CV7-12)+INDEX($DY$6:$DY$29,CV7-12))*(1-Premissas!$E$22),0)</f>
        <v>0</v>
      </c>
      <c r="EC7" s="58" t="n">
        <f aca="false">DB7+DD7+DZ7+EA7</f>
        <v>26.985</v>
      </c>
      <c r="ED7" s="59" t="str">
        <f aca="false">IF(DR7&gt;0,CV7,"")</f>
        <v/>
      </c>
      <c r="EE7" s="40" t="n">
        <f aca="false">DB7*Premissas!$C$13+DD7*Premissas!$C$14</f>
        <v>1501.038</v>
      </c>
      <c r="EF7" s="40" t="n">
        <f aca="false">DZ7*Premissas!$F$13+EA7*Premissas!$F$14</f>
        <v>3423.27384</v>
      </c>
      <c r="EG7" s="40" t="n">
        <f aca="false">EE7+EF7</f>
        <v>4924.31184</v>
      </c>
      <c r="EH7" s="40" t="n">
        <f aca="false">EG7*Premissas!$C$30</f>
        <v>295.4587104</v>
      </c>
      <c r="EI7" s="40" t="n">
        <f aca="false">EG7*Premissas!$C$28+EC7*Premissas!$C$29</f>
        <v>185.5735644</v>
      </c>
      <c r="EJ7" s="40" t="n">
        <f aca="false">DK7</f>
        <v>15.7425</v>
      </c>
      <c r="EK7" s="40" t="n">
        <f aca="false">DN7</f>
        <v>2195</v>
      </c>
      <c r="EL7" s="40" t="n">
        <f aca="false">DO7+DP7</f>
        <v>1645.8</v>
      </c>
      <c r="EM7" s="40" t="n">
        <f aca="false">EH7+EI7+EJ7+EK7+EL7</f>
        <v>4337.5747748</v>
      </c>
      <c r="EN7" s="56" t="n">
        <f aca="false">EG7-EM7</f>
        <v>586.7370652</v>
      </c>
      <c r="EO7" s="56" t="n">
        <f aca="false">IF(CV7=1,Premissas!$C$8,N(EO6))+EN7</f>
        <v>202.9855877</v>
      </c>
      <c r="EP7" s="40" t="n">
        <f aca="false">DC7*Premissas!$F$13/12+DE7*Premissas!$F$14/12</f>
        <v>539.980695</v>
      </c>
      <c r="EQ7" s="40" t="n">
        <f aca="false">N(EQ6)+EF7-EP7</f>
        <v>5685.07977</v>
      </c>
      <c r="ER7" s="1"/>
      <c r="ES7" s="1"/>
      <c r="ET7" s="1"/>
      <c r="EU7" s="1"/>
      <c r="EV7" s="1"/>
      <c r="EW7" s="1"/>
      <c r="EX7" s="1"/>
      <c r="EY7" s="1"/>
    </row>
    <row r="8" customFormat="false" ht="15" hidden="false" customHeight="false" outlineLevel="0" collapsed="false">
      <c r="A8" s="1"/>
      <c r="B8" s="51" t="n">
        <f aca="false">B7+1</f>
        <v>3</v>
      </c>
      <c r="C8" s="52" t="n">
        <f aca="false">EDATE(Premissas!$C$7,B8-1)</f>
        <v>46357</v>
      </c>
      <c r="D8" s="53" t="n">
        <f aca="false">Premissas!$C$19*(1+Premissas!$C$20)^(B8-1)</f>
        <v>4.2436</v>
      </c>
      <c r="E8" s="54" t="n">
        <f aca="false">IFERROR(D8/Premissas!$C$25,0)</f>
        <v>42.436</v>
      </c>
      <c r="F8" s="53" t="n">
        <f aca="false">(N(H7)+N(J7))*Premissas!$C$21+AH8</f>
        <v>0.5616</v>
      </c>
      <c r="G8" s="55" t="n">
        <f aca="false">H8+I8+J8+K8</f>
        <v>11.514</v>
      </c>
      <c r="H8" s="53" t="n">
        <f aca="false">N(H7)*(1-Premissas!$C$21)+AB8</f>
        <v>8.735994</v>
      </c>
      <c r="I8" s="53" t="n">
        <f aca="false">SUM(INDEX($AF$6:$AF$29,MAX(1,B8-11)):INDEX($AF$6:$AF$29,B8))</f>
        <v>1.050906</v>
      </c>
      <c r="J8" s="53" t="n">
        <f aca="false">N(J7)*(1-Premissas!$C$21)+AD8</f>
        <v>1.541646</v>
      </c>
      <c r="K8" s="53" t="n">
        <f aca="false">SUM(INDEX($AG$6:$AG$29,MAX(1,B8-11)):INDEX($AG$6:$AG$29,B8))</f>
        <v>0.185454</v>
      </c>
      <c r="L8" s="56" t="n">
        <f aca="false">H8*Premissas!$C$13+I8*Premissas!$F$13/12+J8*Premissas!$C$14+K8*Premissas!$F$14/12</f>
        <v>706.08620007</v>
      </c>
      <c r="M8" s="40" t="n">
        <f aca="false">L8*12</f>
        <v>8473.03440084</v>
      </c>
      <c r="N8" s="40" t="n">
        <f aca="false">IFERROR(L8/G8,0)</f>
        <v>61.3241445257947</v>
      </c>
      <c r="O8" s="40" t="n">
        <f aca="false">L8*Premissas!$C$30</f>
        <v>42.3651720042</v>
      </c>
      <c r="P8" s="40" t="n">
        <f aca="false">L8*Premissas!$C$28+AI8*Premissas!$C$29</f>
        <v>29.95699700245</v>
      </c>
      <c r="Q8" s="40" t="n">
        <f aca="false">G8*Premissas!$C$31</f>
        <v>5.757</v>
      </c>
      <c r="R8" s="40" t="n">
        <f aca="false">L8-O8-P8-Q8</f>
        <v>628.00703106335</v>
      </c>
      <c r="S8" s="57" t="n">
        <f aca="false">IFERROR(R8/L8,0)</f>
        <v>0.889419777643425</v>
      </c>
      <c r="T8" s="40" t="n">
        <f aca="false">SUMPRODUCT(Premissas!$C$42:$C$61,--(Premissas!$D$42:$D$61&lt;=B8))</f>
        <v>2195</v>
      </c>
      <c r="U8" s="40" t="n">
        <f aca="false">Premissas!$C$34*(1+Premissas!$C$35)^(B8-1)</f>
        <v>1591.35</v>
      </c>
      <c r="V8" s="40" t="n">
        <f aca="false">D8*Premissas!$C$36*Premissas!$C$37</f>
        <v>25.4616</v>
      </c>
      <c r="W8" s="40" t="n">
        <f aca="false">O8+P8+Q8+T8+U8+V8</f>
        <v>3889.89076900665</v>
      </c>
      <c r="X8" s="56" t="n">
        <f aca="false">L8-W8</f>
        <v>-3183.80456893665</v>
      </c>
      <c r="Y8" s="40" t="n">
        <f aca="false">N(Y7)+X8</f>
        <v>-10021.8552594917</v>
      </c>
      <c r="Z8" s="40" t="n">
        <f aca="false">IFERROR((U8+V8)/D8,0)</f>
        <v>381</v>
      </c>
      <c r="AA8" s="54" t="n">
        <f aca="false">IFERROR(T8/(R8/G8),0)</f>
        <v>40.2435462501224</v>
      </c>
      <c r="AB8" s="58" t="n">
        <f aca="false">D8*(1-Premissas!$C$23)*(1-Premissas!$C$24)</f>
        <v>3.246354</v>
      </c>
      <c r="AC8" s="58" t="n">
        <f aca="false">D8*(1-Premissas!$C$23)*Premissas!$C$24</f>
        <v>0.360706</v>
      </c>
      <c r="AD8" s="58" t="n">
        <f aca="false">D8*Premissas!$C$23*(1-Premissas!$C$24)</f>
        <v>0.572886</v>
      </c>
      <c r="AE8" s="58" t="n">
        <f aca="false">D8*Premissas!$C$23*Premissas!$C$24</f>
        <v>0.063654</v>
      </c>
      <c r="AF8" s="58" t="n">
        <f aca="false">AC8+IF(B8&gt;12,INDEX($AC$6:$AC$29,B8-12)*Premissas!$C$22,0)</f>
        <v>0.360706</v>
      </c>
      <c r="AG8" s="58" t="n">
        <f aca="false">AE8+IF(B8&gt;12,INDEX($AE$6:$AE$29,B8-12)*Premissas!$C$22,0)</f>
        <v>0.063654</v>
      </c>
      <c r="AH8" s="58" t="n">
        <f aca="false">IF(B8&gt;12,(INDEX($AC$6:$AC$29,B8-12)+INDEX($AE$6:$AE$29,B8-12))*(1-Premissas!$C$22),0)</f>
        <v>0</v>
      </c>
      <c r="AI8" s="58" t="n">
        <f aca="false">H8+J8+AF8+AG8</f>
        <v>10.702</v>
      </c>
      <c r="AJ8" s="59" t="str">
        <f aca="false">IF(X8&gt;0,B8,"")</f>
        <v/>
      </c>
      <c r="AK8" s="40" t="n">
        <f aca="false">H8*Premissas!$C$13+J8*Premissas!$C$14</f>
        <v>641.324736</v>
      </c>
      <c r="AL8" s="40" t="n">
        <f aca="false">AF8*Premissas!$F$13+AG8*Premissas!$F$14</f>
        <v>266.73954084</v>
      </c>
      <c r="AM8" s="40" t="n">
        <f aca="false">AK8+AL8</f>
        <v>908.06427684</v>
      </c>
      <c r="AN8" s="40" t="n">
        <f aca="false">AM8*Premissas!$C$30</f>
        <v>54.4838566104</v>
      </c>
      <c r="AO8" s="40" t="n">
        <f aca="false">AM8*Premissas!$C$28+AI8*Premissas!$C$29</f>
        <v>37.0262296894</v>
      </c>
      <c r="AP8" s="40" t="n">
        <f aca="false">Q8</f>
        <v>5.757</v>
      </c>
      <c r="AQ8" s="40" t="n">
        <f aca="false">T8</f>
        <v>2195</v>
      </c>
      <c r="AR8" s="40" t="n">
        <f aca="false">U8+V8</f>
        <v>1616.8116</v>
      </c>
      <c r="AS8" s="40" t="n">
        <f aca="false">AN8+AO8+AP8+AQ8+AR8</f>
        <v>3909.0786862998</v>
      </c>
      <c r="AT8" s="56" t="n">
        <f aca="false">AM8-AS8</f>
        <v>-3001.0144094598</v>
      </c>
      <c r="AU8" s="56" t="n">
        <f aca="false">IF(B8=1,Premissas!$C$8,N(AU7))+AT8</f>
        <v>-9434.6092341198</v>
      </c>
      <c r="AV8" s="40" t="n">
        <f aca="false">I8*Premissas!$F$13/12+K8*Premissas!$F$14/12</f>
        <v>64.76146407</v>
      </c>
      <c r="AW8" s="40" t="n">
        <f aca="false">N(AW7)+AL8-AV8</f>
        <v>648.89063577</v>
      </c>
      <c r="AX8" s="1"/>
      <c r="AY8" s="51" t="n">
        <f aca="false">AY7+1</f>
        <v>3</v>
      </c>
      <c r="AZ8" s="52" t="n">
        <f aca="false">EDATE(Premissas!$C$7,AY8-1)</f>
        <v>46357</v>
      </c>
      <c r="BA8" s="53" t="n">
        <f aca="false">Premissas!$D$19*(1+Premissas!$D$20)^(AY8-1)</f>
        <v>9.1592</v>
      </c>
      <c r="BB8" s="54" t="n">
        <f aca="false">IFERROR(BA8/Premissas!$D$25,0)</f>
        <v>45.796</v>
      </c>
      <c r="BC8" s="53" t="n">
        <f aca="false">(N(BE7)+N(BG7))*Premissas!$D$21+CE8</f>
        <v>0.6464</v>
      </c>
      <c r="BD8" s="55" t="n">
        <f aca="false">BE8+BF8+BG8+BH8</f>
        <v>24.7528</v>
      </c>
      <c r="BE8" s="53" t="n">
        <f aca="false">N(BE7)*(1-Premissas!$D$21)+BY8</f>
        <v>14.70672</v>
      </c>
      <c r="BF8" s="53" t="n">
        <f aca="false">SUM(INDEX($CC$6:$CC$29,MAX(1,AY8-11)):INDEX($CC$6:$CC$29,AY8))</f>
        <v>3.85788</v>
      </c>
      <c r="BG8" s="53" t="n">
        <f aca="false">N(BG7)*(1-Premissas!$D$21)+CA8</f>
        <v>4.90224</v>
      </c>
      <c r="BH8" s="53" t="n">
        <f aca="false">SUM(INDEX($CD$6:$CD$29,MAX(1,AY8-11)):INDEX($CD$6:$CD$29,AY8))</f>
        <v>1.28596</v>
      </c>
      <c r="BI8" s="56" t="n">
        <f aca="false">BE8*Premissas!$C$13+BF8*Premissas!$F$13/12+BG8*Premissas!$C$14+BH8*Premissas!$F$14/12</f>
        <v>1562.7202554</v>
      </c>
      <c r="BJ8" s="40" t="n">
        <f aca="false">BI8*12</f>
        <v>18752.6430648</v>
      </c>
      <c r="BK8" s="40" t="n">
        <f aca="false">IFERROR(BI8/BD8,0)</f>
        <v>63.1330700122814</v>
      </c>
      <c r="BL8" s="40" t="n">
        <f aca="false">BI8*Premissas!$C$30</f>
        <v>93.763215324</v>
      </c>
      <c r="BM8" s="40" t="n">
        <f aca="false">BI8*Premissas!$C$28+CF8*Premissas!$C$29</f>
        <v>65.201200939</v>
      </c>
      <c r="BN8" s="40" t="n">
        <f aca="false">BD8*Premissas!$C$31</f>
        <v>12.3764</v>
      </c>
      <c r="BO8" s="40" t="n">
        <f aca="false">BI8-BL8-BM8-BN8</f>
        <v>1391.379439137</v>
      </c>
      <c r="BP8" s="57" t="n">
        <f aca="false">IFERROR(BO8/BI8,0)</f>
        <v>0.890357333200917</v>
      </c>
      <c r="BQ8" s="40" t="n">
        <f aca="false">SUMPRODUCT(Premissas!$C$42:$C$61,--(Premissas!$D$42:$D$61&lt;=AY8))</f>
        <v>2195</v>
      </c>
      <c r="BR8" s="40" t="n">
        <f aca="false">Premissas!$C$34*(1+Premissas!$C$35)^(AY8-1)</f>
        <v>1591.35</v>
      </c>
      <c r="BS8" s="40" t="n">
        <f aca="false">BA8*Premissas!$C$36*Premissas!$C$37</f>
        <v>54.9552</v>
      </c>
      <c r="BT8" s="40" t="n">
        <f aca="false">BL8+BM8+BN8+BQ8+BR8+BS8</f>
        <v>4012.646016263</v>
      </c>
      <c r="BU8" s="56" t="n">
        <f aca="false">BI8-BT8</f>
        <v>-2449.925760863</v>
      </c>
      <c r="BV8" s="40" t="n">
        <f aca="false">N(BV7)+BU8</f>
        <v>-8621.299801763</v>
      </c>
      <c r="BW8" s="40" t="n">
        <f aca="false">IFERROR((BR8+BS8)/BA8,0)</f>
        <v>179.743340029697</v>
      </c>
      <c r="BX8" s="54" t="n">
        <f aca="false">IFERROR(BQ8/(BO8/BD8),0)</f>
        <v>39.0493020607661</v>
      </c>
      <c r="BY8" s="58" t="n">
        <f aca="false">BA8*(1-Premissas!$D$23)*(1-Premissas!$D$24)</f>
        <v>5.49552</v>
      </c>
      <c r="BZ8" s="58" t="n">
        <f aca="false">BA8*(1-Premissas!$D$23)*Premissas!$D$24</f>
        <v>1.37388</v>
      </c>
      <c r="CA8" s="58" t="n">
        <f aca="false">BA8*Premissas!$D$23*(1-Premissas!$D$24)</f>
        <v>1.83184</v>
      </c>
      <c r="CB8" s="58" t="n">
        <f aca="false">BA8*Premissas!$D$23*Premissas!$D$24</f>
        <v>0.45796</v>
      </c>
      <c r="CC8" s="58" t="n">
        <f aca="false">BZ8+IF(AY8&gt;12,INDEX($BZ$6:$BZ$29,AY8-12)*Premissas!$D$22,0)</f>
        <v>1.37388</v>
      </c>
      <c r="CD8" s="58" t="n">
        <f aca="false">CB8+IF(AY8&gt;12,INDEX($CB$6:$CB$29,AY8-12)*Premissas!$D$22,0)</f>
        <v>0.45796</v>
      </c>
      <c r="CE8" s="58" t="n">
        <f aca="false">IF(AY8&gt;12,(INDEX($BZ$6:$BZ$29,AY8-12)+INDEX($CB$6:$CB$29,AY8-12))*(1-Premissas!$D$22),0)</f>
        <v>0</v>
      </c>
      <c r="CF8" s="58" t="n">
        <f aca="false">BE8+BG8+CC8+CD8</f>
        <v>21.4408</v>
      </c>
      <c r="CG8" s="59" t="str">
        <f aca="false">IF(BU8&gt;0,AY8,"")</f>
        <v/>
      </c>
      <c r="CH8" s="40" t="n">
        <f aca="false">BE8*Premissas!$C$13+BG8*Premissas!$C$14</f>
        <v>1282.425984</v>
      </c>
      <c r="CI8" s="40" t="n">
        <f aca="false">CC8*Premissas!$F$13+CD8*Premissas!$F$14</f>
        <v>1197.8310168</v>
      </c>
      <c r="CJ8" s="40" t="n">
        <f aca="false">CH8+CI8</f>
        <v>2480.2570008</v>
      </c>
      <c r="CK8" s="40" t="n">
        <f aca="false">CJ8*Premissas!$C$30</f>
        <v>148.815420048</v>
      </c>
      <c r="CL8" s="40" t="n">
        <f aca="false">CJ8*Premissas!$C$28+CF8*Premissas!$C$29</f>
        <v>97.314987028</v>
      </c>
      <c r="CM8" s="40" t="n">
        <f aca="false">BN8</f>
        <v>12.3764</v>
      </c>
      <c r="CN8" s="40" t="n">
        <f aca="false">BQ8</f>
        <v>2195</v>
      </c>
      <c r="CO8" s="40" t="n">
        <f aca="false">BR8+BS8</f>
        <v>1646.3052</v>
      </c>
      <c r="CP8" s="40" t="n">
        <f aca="false">CK8+CL8+CM8+CN8+CO8</f>
        <v>4099.812007076</v>
      </c>
      <c r="CQ8" s="56" t="n">
        <f aca="false">CJ8-CP8</f>
        <v>-1619.555006276</v>
      </c>
      <c r="CR8" s="56" t="n">
        <f aca="false">IF(AY8=1,Premissas!$C$8,N(CR7))+CQ8</f>
        <v>-6073.203553076</v>
      </c>
      <c r="CS8" s="40" t="n">
        <f aca="false">BF8*Premissas!$F$13/12+BH8*Premissas!$F$14/12</f>
        <v>280.2942714</v>
      </c>
      <c r="CT8" s="40" t="n">
        <f aca="false">N(CT7)+CI8-CS8</f>
        <v>2815.5759654</v>
      </c>
      <c r="CU8" s="1"/>
      <c r="CV8" s="51" t="n">
        <f aca="false">CV7+1</f>
        <v>3</v>
      </c>
      <c r="CW8" s="52" t="n">
        <f aca="false">EDATE(Premissas!$C$7,CV8-1)</f>
        <v>46357</v>
      </c>
      <c r="CX8" s="53" t="n">
        <f aca="false">Premissas!$E$19*(1+Premissas!$E$20)^(CV8-1)</f>
        <v>18.816</v>
      </c>
      <c r="CY8" s="54" t="n">
        <f aca="false">IFERROR(CX8/Premissas!$E$25,0)</f>
        <v>62.72</v>
      </c>
      <c r="CZ8" s="53" t="n">
        <f aca="false">(N(DB7)+N(DD7))*Premissas!$E$21+EB8</f>
        <v>0.65835</v>
      </c>
      <c r="DA8" s="55" t="n">
        <f aca="false">DB8+DC8+DD8+DE8</f>
        <v>49.64265</v>
      </c>
      <c r="DB8" s="53" t="n">
        <f aca="false">N(DB7)*(1-Premissas!$E$21)+DV8</f>
        <v>22.3976025</v>
      </c>
      <c r="DC8" s="53" t="n">
        <f aca="false">SUM(INDEX($DZ$6:$DZ$29,MAX(1,CV8-11)):INDEX($DZ$6:$DZ$29,CV8))</f>
        <v>9.87012</v>
      </c>
      <c r="DD8" s="53" t="n">
        <f aca="false">N(DD7)*(1-Premissas!$E$21)+DX8</f>
        <v>12.0602475</v>
      </c>
      <c r="DE8" s="53" t="n">
        <f aca="false">SUM(INDEX($EA$6:$EA$29,MAX(1,CV8-11)):INDEX($EA$6:$EA$29,CV8))</f>
        <v>5.31468</v>
      </c>
      <c r="DF8" s="56" t="n">
        <f aca="false">DB8*Premissas!$C$13+DC8*Premissas!$F$13/12+DD8*Premissas!$C$14+DE8*Premissas!$F$14/12</f>
        <v>3216.4031934</v>
      </c>
      <c r="DG8" s="40" t="n">
        <f aca="false">DF8*12</f>
        <v>38596.8383208</v>
      </c>
      <c r="DH8" s="40" t="n">
        <f aca="false">IFERROR(DF8/DA8,0)</f>
        <v>64.7911260458497</v>
      </c>
      <c r="DI8" s="40" t="n">
        <f aca="false">DF8*Premissas!$C$30</f>
        <v>192.984191604</v>
      </c>
      <c r="DJ8" s="40" t="n">
        <f aca="false">DF8*Premissas!$C$28+EC8*Premissas!$C$29</f>
        <v>132.224410269</v>
      </c>
      <c r="DK8" s="40" t="n">
        <f aca="false">DA8*Premissas!$C$31</f>
        <v>24.821325</v>
      </c>
      <c r="DL8" s="40" t="n">
        <f aca="false">DF8-DI8-DJ8-DK8</f>
        <v>2866.373266527</v>
      </c>
      <c r="DM8" s="57" t="n">
        <f aca="false">IFERROR(DL8/DF8,0)</f>
        <v>0.891173492306171</v>
      </c>
      <c r="DN8" s="40" t="n">
        <f aca="false">SUMPRODUCT(Premissas!$C$42:$C$61,--(Premissas!$D$42:$D$61&lt;=CV8))</f>
        <v>2195</v>
      </c>
      <c r="DO8" s="40" t="n">
        <f aca="false">Premissas!$C$34*(1+Premissas!$C$35)^(CV8-1)</f>
        <v>1591.35</v>
      </c>
      <c r="DP8" s="40" t="n">
        <f aca="false">CX8*Premissas!$C$36*Premissas!$C$37</f>
        <v>112.896</v>
      </c>
      <c r="DQ8" s="40" t="n">
        <f aca="false">DI8+DJ8+DK8+DN8+DO8+DP8</f>
        <v>4249.275926873</v>
      </c>
      <c r="DR8" s="56" t="n">
        <f aca="false">DF8-DQ8</f>
        <v>-1032.872733473</v>
      </c>
      <c r="DS8" s="40" t="n">
        <f aca="false">N(DS7)+DR8</f>
        <v>-5974.884337623</v>
      </c>
      <c r="DT8" s="40" t="n">
        <f aca="false">IFERROR((DO8+DP8)/CX8,0)</f>
        <v>90.5742984693877</v>
      </c>
      <c r="DU8" s="54" t="n">
        <f aca="false">IFERROR(DN8/(DL8/DA8),0)</f>
        <v>38.0151524654801</v>
      </c>
      <c r="DV8" s="58" t="n">
        <f aca="false">CX8*(1-Premissas!$E$23)*(1-Premissas!$E$24)</f>
        <v>8.56128</v>
      </c>
      <c r="DW8" s="58" t="n">
        <f aca="false">CX8*(1-Premissas!$E$23)*Premissas!$E$24</f>
        <v>3.66912</v>
      </c>
      <c r="DX8" s="58" t="n">
        <f aca="false">CX8*Premissas!$E$23*(1-Premissas!$E$24)</f>
        <v>4.60992</v>
      </c>
      <c r="DY8" s="58" t="n">
        <f aca="false">CX8*Premissas!$E$23*Premissas!$E$24</f>
        <v>1.97568</v>
      </c>
      <c r="DZ8" s="58" t="n">
        <f aca="false">DW8+IF(CV8&gt;12,INDEX($DW$6:$DW$29,CV8-12)*Premissas!$E$22,0)</f>
        <v>3.66912</v>
      </c>
      <c r="EA8" s="58" t="n">
        <f aca="false">DY8+IF(CV8&gt;12,INDEX($DY$6:$DY$29,CV8-12)*Premissas!$E$22,0)</f>
        <v>1.97568</v>
      </c>
      <c r="EB8" s="58" t="n">
        <f aca="false">IF(CV8&gt;12,(INDEX($DW$6:$DW$29,CV8-12)+INDEX($DY$6:$DY$29,CV8-12))*(1-Premissas!$E$22),0)</f>
        <v>0</v>
      </c>
      <c r="EC8" s="58" t="n">
        <f aca="false">DB8+DD8+DZ8+EA8</f>
        <v>40.10265</v>
      </c>
      <c r="ED8" s="59" t="str">
        <f aca="false">IF(DR8&gt;0,CV8,"")</f>
        <v/>
      </c>
      <c r="EE8" s="40" t="n">
        <f aca="false">DB8*Premissas!$C$13+DD8*Premissas!$C$14</f>
        <v>2356.91694</v>
      </c>
      <c r="EF8" s="40" t="n">
        <f aca="false">DZ8*Premissas!$F$13+EA8*Premissas!$F$14</f>
        <v>3834.0667008</v>
      </c>
      <c r="EG8" s="40" t="n">
        <f aca="false">EE8+EF8</f>
        <v>6190.9836408</v>
      </c>
      <c r="EH8" s="40" t="n">
        <f aca="false">EG8*Premissas!$C$30</f>
        <v>371.459018448</v>
      </c>
      <c r="EI8" s="40" t="n">
        <f aca="false">EG8*Premissas!$C$28+EC8*Premissas!$C$29</f>
        <v>236.334725928</v>
      </c>
      <c r="EJ8" s="40" t="n">
        <f aca="false">DK8</f>
        <v>24.821325</v>
      </c>
      <c r="EK8" s="40" t="n">
        <f aca="false">DN8</f>
        <v>2195</v>
      </c>
      <c r="EL8" s="40" t="n">
        <f aca="false">DO8+DP8</f>
        <v>1704.246</v>
      </c>
      <c r="EM8" s="40" t="n">
        <f aca="false">EH8+EI8+EJ8+EK8+EL8</f>
        <v>4531.861069376</v>
      </c>
      <c r="EN8" s="56" t="n">
        <f aca="false">EG8-EM8</f>
        <v>1659.122571424</v>
      </c>
      <c r="EO8" s="56" t="n">
        <f aca="false">IF(CV8=1,Premissas!$C$8,N(EO7))+EN8</f>
        <v>1862.108159124</v>
      </c>
      <c r="EP8" s="40" t="n">
        <f aca="false">DC8*Premissas!$F$13/12+DE8*Premissas!$F$14/12</f>
        <v>859.4862534</v>
      </c>
      <c r="EQ8" s="40" t="n">
        <f aca="false">N(EQ7)+EF8-EP8</f>
        <v>8659.6602174</v>
      </c>
      <c r="ER8" s="1"/>
      <c r="ES8" s="1"/>
      <c r="ET8" s="1"/>
      <c r="EU8" s="1"/>
      <c r="EV8" s="1"/>
      <c r="EW8" s="1"/>
      <c r="EX8" s="1"/>
      <c r="EY8" s="1"/>
    </row>
    <row r="9" customFormat="false" ht="15" hidden="false" customHeight="false" outlineLevel="0" collapsed="false">
      <c r="A9" s="1"/>
      <c r="B9" s="51" t="n">
        <f aca="false">B8+1</f>
        <v>4</v>
      </c>
      <c r="C9" s="52" t="n">
        <f aca="false">EDATE(Premissas!$C$7,B9-1)</f>
        <v>46388</v>
      </c>
      <c r="D9" s="53" t="n">
        <f aca="false">Premissas!$C$19*(1+Premissas!$C$20)^(B9-1)</f>
        <v>4.370908</v>
      </c>
      <c r="E9" s="54" t="n">
        <f aca="false">IFERROR(D9/Premissas!$C$25,0)</f>
        <v>43.70908</v>
      </c>
      <c r="F9" s="53" t="n">
        <f aca="false">(N(H8)+N(J8))*Premissas!$C$21+AH9</f>
        <v>0.8222112</v>
      </c>
      <c r="G9" s="55" t="n">
        <f aca="false">H9+I9+J9+K9</f>
        <v>15.0626968</v>
      </c>
      <c r="H9" s="53" t="n">
        <f aca="false">N(H8)*(1-Premissas!$C$21)+AB9</f>
        <v>11.3808591</v>
      </c>
      <c r="I9" s="53" t="n">
        <f aca="false">SUM(INDEX($AF$6:$AF$29,MAX(1,B9-11)):INDEX($AF$6:$AF$29,B9))</f>
        <v>1.42243318</v>
      </c>
      <c r="J9" s="53" t="n">
        <f aca="false">N(J8)*(1-Premissas!$C$21)+AD9</f>
        <v>2.0083869</v>
      </c>
      <c r="K9" s="53" t="n">
        <f aca="false">SUM(INDEX($AG$6:$AG$29,MAX(1,B9-11)):INDEX($AG$6:$AG$29,B9))</f>
        <v>0.25101762</v>
      </c>
      <c r="L9" s="56" t="n">
        <f aca="false">H9*Premissas!$C$13+I9*Premissas!$F$13/12+J9*Premissas!$C$14+K9*Premissas!$F$14/12</f>
        <v>923.1455583921</v>
      </c>
      <c r="M9" s="40" t="n">
        <f aca="false">L9*12</f>
        <v>11077.7467007052</v>
      </c>
      <c r="N9" s="40" t="n">
        <f aca="false">IFERROR(L9/G9,0)</f>
        <v>61.2868711791437</v>
      </c>
      <c r="O9" s="40" t="n">
        <f aca="false">L9*Premissas!$C$30</f>
        <v>55.388733503526</v>
      </c>
      <c r="P9" s="40" t="n">
        <f aca="false">L9*Premissas!$C$28+AI9*Premissas!$C$29</f>
        <v>39.0849995757235</v>
      </c>
      <c r="Q9" s="40" t="n">
        <f aca="false">G9*Premissas!$C$31</f>
        <v>7.5313484</v>
      </c>
      <c r="R9" s="40" t="n">
        <f aca="false">L9-O9-P9-Q9</f>
        <v>821.140476912851</v>
      </c>
      <c r="S9" s="57" t="n">
        <f aca="false">IFERROR(R9/L9,0)</f>
        <v>0.889502711081752</v>
      </c>
      <c r="T9" s="40" t="n">
        <f aca="false">SUMPRODUCT(Premissas!$C$42:$C$61,--(Premissas!$D$42:$D$61&lt;=B9))</f>
        <v>2195</v>
      </c>
      <c r="U9" s="40" t="n">
        <f aca="false">Premissas!$C$34*(1+Premissas!$C$35)^(B9-1)</f>
        <v>1639.0905</v>
      </c>
      <c r="V9" s="40" t="n">
        <f aca="false">D9*Premissas!$C$36*Premissas!$C$37</f>
        <v>26.225448</v>
      </c>
      <c r="W9" s="40" t="n">
        <f aca="false">O9+P9+Q9+T9+U9+V9</f>
        <v>3962.32102947925</v>
      </c>
      <c r="X9" s="56" t="n">
        <f aca="false">L9-W9</f>
        <v>-3039.17547108715</v>
      </c>
      <c r="Y9" s="40" t="n">
        <f aca="false">N(Y8)+X9</f>
        <v>-13061.0307305788</v>
      </c>
      <c r="Z9" s="40" t="n">
        <f aca="false">IFERROR((U9+V9)/D9,0)</f>
        <v>381</v>
      </c>
      <c r="AA9" s="54" t="n">
        <f aca="false">IFERROR(T9/(R9/G9),0)</f>
        <v>40.2642670841192</v>
      </c>
      <c r="AB9" s="58" t="n">
        <f aca="false">D9*(1-Premissas!$C$23)*(1-Premissas!$C$24)</f>
        <v>3.34374462</v>
      </c>
      <c r="AC9" s="58" t="n">
        <f aca="false">D9*(1-Premissas!$C$23)*Premissas!$C$24</f>
        <v>0.37152718</v>
      </c>
      <c r="AD9" s="58" t="n">
        <f aca="false">D9*Premissas!$C$23*(1-Premissas!$C$24)</f>
        <v>0.59007258</v>
      </c>
      <c r="AE9" s="58" t="n">
        <f aca="false">D9*Premissas!$C$23*Premissas!$C$24</f>
        <v>0.06556362</v>
      </c>
      <c r="AF9" s="58" t="n">
        <f aca="false">AC9+IF(B9&gt;12,INDEX($AC$6:$AC$29,B9-12)*Premissas!$C$22,0)</f>
        <v>0.37152718</v>
      </c>
      <c r="AG9" s="58" t="n">
        <f aca="false">AE9+IF(B9&gt;12,INDEX($AE$6:$AE$29,B9-12)*Premissas!$C$22,0)</f>
        <v>0.06556362</v>
      </c>
      <c r="AH9" s="58" t="n">
        <f aca="false">IF(B9&gt;12,(INDEX($AC$6:$AC$29,B9-12)+INDEX($AE$6:$AE$29,B9-12))*(1-Premissas!$C$22),0)</f>
        <v>0</v>
      </c>
      <c r="AI9" s="58" t="n">
        <f aca="false">H9+J9+AF9+AG9</f>
        <v>13.8263368</v>
      </c>
      <c r="AJ9" s="59" t="str">
        <f aca="false">IF(X9&gt;0,B9,"")</f>
        <v/>
      </c>
      <c r="AK9" s="40" t="n">
        <f aca="false">H9*Premissas!$C$13+J9*Premissas!$C$14</f>
        <v>835.4889504</v>
      </c>
      <c r="AL9" s="40" t="n">
        <f aca="false">AF9*Premissas!$F$13+AG9*Premissas!$F$14</f>
        <v>274.7417270652</v>
      </c>
      <c r="AM9" s="40" t="n">
        <f aca="false">AK9+AL9</f>
        <v>1110.2306774652</v>
      </c>
      <c r="AN9" s="40" t="n">
        <f aca="false">AM9*Premissas!$C$30</f>
        <v>66.613840647912</v>
      </c>
      <c r="AO9" s="40" t="n">
        <f aca="false">AM9*Premissas!$C$28+AI9*Premissas!$C$29</f>
        <v>45.632978743282</v>
      </c>
      <c r="AP9" s="40" t="n">
        <f aca="false">Q9</f>
        <v>7.5313484</v>
      </c>
      <c r="AQ9" s="40" t="n">
        <f aca="false">T9</f>
        <v>2195</v>
      </c>
      <c r="AR9" s="40" t="n">
        <f aca="false">U9+V9</f>
        <v>1665.315948</v>
      </c>
      <c r="AS9" s="40" t="n">
        <f aca="false">AN9+AO9+AP9+AQ9+AR9</f>
        <v>3980.09411579119</v>
      </c>
      <c r="AT9" s="56" t="n">
        <f aca="false">AM9-AS9</f>
        <v>-2869.86343832599</v>
      </c>
      <c r="AU9" s="56" t="n">
        <f aca="false">IF(B9=1,Premissas!$C$8,N(AU8))+AT9</f>
        <v>-12304.4726724458</v>
      </c>
      <c r="AV9" s="40" t="n">
        <f aca="false">I9*Premissas!$F$13/12+K9*Premissas!$F$14/12</f>
        <v>87.6566079921</v>
      </c>
      <c r="AW9" s="40" t="n">
        <f aca="false">N(AW8)+AL9-AV9</f>
        <v>835.9757548431</v>
      </c>
      <c r="AX9" s="1"/>
      <c r="AY9" s="51" t="n">
        <f aca="false">AY8+1</f>
        <v>4</v>
      </c>
      <c r="AZ9" s="52" t="n">
        <f aca="false">EDATE(Premissas!$C$7,AY9-1)</f>
        <v>46388</v>
      </c>
      <c r="BA9" s="53" t="n">
        <f aca="false">Premissas!$D$19*(1+Premissas!$D$20)^(AY9-1)</f>
        <v>9.800344</v>
      </c>
      <c r="BB9" s="54" t="n">
        <f aca="false">IFERROR(BA9/Premissas!$D$25,0)</f>
        <v>49.00172</v>
      </c>
      <c r="BC9" s="53" t="n">
        <f aca="false">(N(BE8)+N(BG8))*Premissas!$D$21+CE9</f>
        <v>0.980448</v>
      </c>
      <c r="BD9" s="55" t="n">
        <f aca="false">BE9+BF9+BG9+BH9</f>
        <v>33.572696</v>
      </c>
      <c r="BE9" s="53" t="n">
        <f aca="false">N(BE8)*(1-Premissas!$D$21)+BY9</f>
        <v>19.8515904</v>
      </c>
      <c r="BF9" s="53" t="n">
        <f aca="false">SUM(INDEX($CC$6:$CC$29,MAX(1,AY9-11)):INDEX($CC$6:$CC$29,AY9))</f>
        <v>5.3279316</v>
      </c>
      <c r="BG9" s="53" t="n">
        <f aca="false">N(BG8)*(1-Premissas!$D$21)+CA9</f>
        <v>6.6171968</v>
      </c>
      <c r="BH9" s="53" t="n">
        <f aca="false">SUM(INDEX($CD$6:$CD$29,MAX(1,AY9-11)):INDEX($CD$6:$CD$29,AY9))</f>
        <v>1.7759772</v>
      </c>
      <c r="BI9" s="56" t="n">
        <f aca="false">BE9*Premissas!$C$13+BF9*Premissas!$F$13/12+BG9*Premissas!$C$14+BH9*Premissas!$F$14/12</f>
        <v>2118.159553278</v>
      </c>
      <c r="BJ9" s="40" t="n">
        <f aca="false">BI9*12</f>
        <v>25417.914639336</v>
      </c>
      <c r="BK9" s="40" t="n">
        <f aca="false">IFERROR(BI9/BD9,0)</f>
        <v>63.0917324387055</v>
      </c>
      <c r="BL9" s="40" t="n">
        <f aca="false">BI9*Premissas!$C$30</f>
        <v>127.08957319668</v>
      </c>
      <c r="BM9" s="40" t="n">
        <f aca="false">BI9*Premissas!$C$28+CF9*Premissas!$C$29</f>
        <v>88.06572380473</v>
      </c>
      <c r="BN9" s="40" t="n">
        <f aca="false">BD9*Premissas!$C$31</f>
        <v>16.786348</v>
      </c>
      <c r="BO9" s="40" t="n">
        <f aca="false">BI9-BL9-BM9-BN9</f>
        <v>1886.21790827659</v>
      </c>
      <c r="BP9" s="57" t="n">
        <f aca="false">IFERROR(BO9/BI9,0)</f>
        <v>0.890498501568277</v>
      </c>
      <c r="BQ9" s="40" t="n">
        <f aca="false">SUMPRODUCT(Premissas!$C$42:$C$61,--(Premissas!$D$42:$D$61&lt;=AY9))</f>
        <v>2195</v>
      </c>
      <c r="BR9" s="40" t="n">
        <f aca="false">Premissas!$C$34*(1+Premissas!$C$35)^(AY9-1)</f>
        <v>1639.0905</v>
      </c>
      <c r="BS9" s="40" t="n">
        <f aca="false">BA9*Premissas!$C$36*Premissas!$C$37</f>
        <v>58.802064</v>
      </c>
      <c r="BT9" s="40" t="n">
        <f aca="false">BL9+BM9+BN9+BQ9+BR9+BS9</f>
        <v>4124.83420900141</v>
      </c>
      <c r="BU9" s="56" t="n">
        <f aca="false">BI9-BT9</f>
        <v>-2006.67465572341</v>
      </c>
      <c r="BV9" s="40" t="n">
        <f aca="false">N(BV8)+BU9</f>
        <v>-10627.9744574864</v>
      </c>
      <c r="BW9" s="40" t="n">
        <f aca="false">IFERROR((BR9+BS9)/BA9,0)</f>
        <v>173.248261897746</v>
      </c>
      <c r="BX9" s="54" t="n">
        <f aca="false">IFERROR(BQ9/(BO9/BD9),0)</f>
        <v>39.068692645025</v>
      </c>
      <c r="BY9" s="58" t="n">
        <f aca="false">BA9*(1-Premissas!$D$23)*(1-Premissas!$D$24)</f>
        <v>5.8802064</v>
      </c>
      <c r="BZ9" s="58" t="n">
        <f aca="false">BA9*(1-Premissas!$D$23)*Premissas!$D$24</f>
        <v>1.4700516</v>
      </c>
      <c r="CA9" s="58" t="n">
        <f aca="false">BA9*Premissas!$D$23*(1-Premissas!$D$24)</f>
        <v>1.9600688</v>
      </c>
      <c r="CB9" s="58" t="n">
        <f aca="false">BA9*Premissas!$D$23*Premissas!$D$24</f>
        <v>0.4900172</v>
      </c>
      <c r="CC9" s="58" t="n">
        <f aca="false">BZ9+IF(AY9&gt;12,INDEX($BZ$6:$BZ$29,AY9-12)*Premissas!$D$22,0)</f>
        <v>1.4700516</v>
      </c>
      <c r="CD9" s="58" t="n">
        <f aca="false">CB9+IF(AY9&gt;12,INDEX($CB$6:$CB$29,AY9-12)*Premissas!$D$22,0)</f>
        <v>0.4900172</v>
      </c>
      <c r="CE9" s="58" t="n">
        <f aca="false">IF(AY9&gt;12,(INDEX($BZ$6:$BZ$29,AY9-12)+INDEX($CB$6:$CB$29,AY9-12))*(1-Premissas!$D$22),0)</f>
        <v>0</v>
      </c>
      <c r="CF9" s="58" t="n">
        <f aca="false">BE9+BG9+CC9+CD9</f>
        <v>28.428856</v>
      </c>
      <c r="CG9" s="59" t="str">
        <f aca="false">IF(BU9&gt;0,AY9,"")</f>
        <v/>
      </c>
      <c r="CH9" s="40" t="n">
        <f aca="false">BE9*Premissas!$C$13+BG9*Premissas!$C$14</f>
        <v>1731.05868288</v>
      </c>
      <c r="CI9" s="40" t="n">
        <f aca="false">CC9*Premissas!$F$13+CD9*Premissas!$F$14</f>
        <v>1281.679187976</v>
      </c>
      <c r="CJ9" s="40" t="n">
        <f aca="false">CH9+CI9</f>
        <v>3012.737870856</v>
      </c>
      <c r="CK9" s="40" t="n">
        <f aca="false">CJ9*Premissas!$C$30</f>
        <v>180.76427225136</v>
      </c>
      <c r="CL9" s="40" t="n">
        <f aca="false">CJ9*Premissas!$C$28+CF9*Premissas!$C$29</f>
        <v>119.37596491996</v>
      </c>
      <c r="CM9" s="40" t="n">
        <f aca="false">BN9</f>
        <v>16.786348</v>
      </c>
      <c r="CN9" s="40" t="n">
        <f aca="false">BQ9</f>
        <v>2195</v>
      </c>
      <c r="CO9" s="40" t="n">
        <f aca="false">BR9+BS9</f>
        <v>1697.892564</v>
      </c>
      <c r="CP9" s="40" t="n">
        <f aca="false">CK9+CL9+CM9+CN9+CO9</f>
        <v>4209.81914917132</v>
      </c>
      <c r="CQ9" s="56" t="n">
        <f aca="false">CJ9-CP9</f>
        <v>-1197.08127831532</v>
      </c>
      <c r="CR9" s="56" t="n">
        <f aca="false">IF(AY9=1,Premissas!$C$8,N(CR8))+CQ9</f>
        <v>-7270.28483139132</v>
      </c>
      <c r="CS9" s="40" t="n">
        <f aca="false">BF9*Premissas!$F$13/12+BH9*Premissas!$F$14/12</f>
        <v>387.100870398</v>
      </c>
      <c r="CT9" s="40" t="n">
        <f aca="false">N(CT8)+CI9-CS9</f>
        <v>3710.154282978</v>
      </c>
      <c r="CU9" s="1"/>
      <c r="CV9" s="51" t="n">
        <f aca="false">CV8+1</f>
        <v>4</v>
      </c>
      <c r="CW9" s="52" t="n">
        <f aca="false">EDATE(Premissas!$C$7,CV9-1)</f>
        <v>46388</v>
      </c>
      <c r="CX9" s="53" t="n">
        <f aca="false">Premissas!$E$19*(1+Premissas!$E$20)^(CV9-1)</f>
        <v>21.07392</v>
      </c>
      <c r="CY9" s="54" t="n">
        <f aca="false">IFERROR(CX9/Premissas!$E$25,0)</f>
        <v>70.2464</v>
      </c>
      <c r="CZ9" s="53" t="n">
        <f aca="false">(N(DB8)+N(DD8))*Premissas!$E$21+EB9</f>
        <v>1.0337355</v>
      </c>
      <c r="DA9" s="55" t="n">
        <f aca="false">DB9+DC9+DD9+DE9</f>
        <v>69.6828345</v>
      </c>
      <c r="DB9" s="53" t="n">
        <f aca="false">N(DB8)*(1-Premissas!$E$21)+DV9</f>
        <v>31.314308025</v>
      </c>
      <c r="DC9" s="53" t="n">
        <f aca="false">SUM(INDEX($DZ$6:$DZ$29,MAX(1,CV9-11)):INDEX($DZ$6:$DZ$29,CV9))</f>
        <v>13.9795344</v>
      </c>
      <c r="DD9" s="53" t="n">
        <f aca="false">N(DD8)*(1-Premissas!$E$21)+DX9</f>
        <v>16.861550475</v>
      </c>
      <c r="DE9" s="53" t="n">
        <f aca="false">SUM(INDEX($EA$6:$EA$29,MAX(1,CV9-11)):INDEX($EA$6:$EA$29,CV9))</f>
        <v>7.5274416</v>
      </c>
      <c r="DF9" s="56" t="n">
        <f aca="false">DB9*Premissas!$C$13+DC9*Premissas!$F$13/12+DD9*Premissas!$C$14+DE9*Premissas!$F$14/12</f>
        <v>4512.561200208</v>
      </c>
      <c r="DG9" s="40" t="n">
        <f aca="false">DF9*12</f>
        <v>54150.734402496</v>
      </c>
      <c r="DH9" s="40" t="n">
        <f aca="false">IFERROR(DF9/DA9,0)</f>
        <v>64.75857695209</v>
      </c>
      <c r="DI9" s="40" t="n">
        <f aca="false">DF9*Premissas!$C$30</f>
        <v>270.75367201248</v>
      </c>
      <c r="DJ9" s="40" t="n">
        <f aca="false">DF9*Premissas!$C$28+EC9*Premissas!$C$29</f>
        <v>184.64367891228</v>
      </c>
      <c r="DK9" s="40" t="n">
        <f aca="false">DA9*Premissas!$C$31</f>
        <v>34.84141725</v>
      </c>
      <c r="DL9" s="40" t="n">
        <f aca="false">DF9-DI9-DJ9-DK9</f>
        <v>4022.32243203324</v>
      </c>
      <c r="DM9" s="57" t="n">
        <f aca="false">IFERROR(DL9/DF9,0)</f>
        <v>0.891361303165891</v>
      </c>
      <c r="DN9" s="40" t="n">
        <f aca="false">SUMPRODUCT(Premissas!$C$42:$C$61,--(Premissas!$D$42:$D$61&lt;=CV9))</f>
        <v>2195</v>
      </c>
      <c r="DO9" s="40" t="n">
        <f aca="false">Premissas!$C$34*(1+Premissas!$C$35)^(CV9-1)</f>
        <v>1639.0905</v>
      </c>
      <c r="DP9" s="40" t="n">
        <f aca="false">CX9*Premissas!$C$36*Premissas!$C$37</f>
        <v>126.44352</v>
      </c>
      <c r="DQ9" s="40" t="n">
        <f aca="false">DI9+DJ9+DK9+DN9+DO9+DP9</f>
        <v>4450.77278817476</v>
      </c>
      <c r="DR9" s="56" t="n">
        <f aca="false">DF9-DQ9</f>
        <v>61.788412033241</v>
      </c>
      <c r="DS9" s="40" t="n">
        <f aca="false">N(DS8)+DR9</f>
        <v>-5913.09592558976</v>
      </c>
      <c r="DT9" s="40" t="n">
        <f aca="false">IFERROR((DO9+DP9)/CX9,0)</f>
        <v>83.7781494852405</v>
      </c>
      <c r="DU9" s="54" t="n">
        <f aca="false">IFERROR(DN9/(DL9/DA9),0)</f>
        <v>38.0262458597044</v>
      </c>
      <c r="DV9" s="58" t="n">
        <f aca="false">CX9*(1-Premissas!$E$23)*(1-Premissas!$E$24)</f>
        <v>9.5886336</v>
      </c>
      <c r="DW9" s="58" t="n">
        <f aca="false">CX9*(1-Premissas!$E$23)*Premissas!$E$24</f>
        <v>4.1094144</v>
      </c>
      <c r="DX9" s="58" t="n">
        <f aca="false">CX9*Premissas!$E$23*(1-Premissas!$E$24)</f>
        <v>5.1631104</v>
      </c>
      <c r="DY9" s="58" t="n">
        <f aca="false">CX9*Premissas!$E$23*Premissas!$E$24</f>
        <v>2.2127616</v>
      </c>
      <c r="DZ9" s="58" t="n">
        <f aca="false">DW9+IF(CV9&gt;12,INDEX($DW$6:$DW$29,CV9-12)*Premissas!$E$22,0)</f>
        <v>4.1094144</v>
      </c>
      <c r="EA9" s="58" t="n">
        <f aca="false">DY9+IF(CV9&gt;12,INDEX($DY$6:$DY$29,CV9-12)*Premissas!$E$22,0)</f>
        <v>2.2127616</v>
      </c>
      <c r="EB9" s="58" t="n">
        <f aca="false">IF(CV9&gt;12,(INDEX($DW$6:$DW$29,CV9-12)+INDEX($DY$6:$DY$29,CV9-12))*(1-Premissas!$E$22),0)</f>
        <v>0</v>
      </c>
      <c r="EC9" s="58" t="n">
        <f aca="false">DB9+DD9+DZ9+EA9</f>
        <v>54.4980345</v>
      </c>
      <c r="ED9" s="59" t="n">
        <f aca="false">IF(DR9&gt;0,CV9,"")</f>
        <v>4</v>
      </c>
      <c r="EE9" s="40" t="n">
        <f aca="false">DB9*Premissas!$C$13+DD9*Premissas!$C$14</f>
        <v>3295.2287214</v>
      </c>
      <c r="EF9" s="40" t="n">
        <f aca="false">DZ9*Premissas!$F$13+EA9*Premissas!$F$14</f>
        <v>4294.154704896</v>
      </c>
      <c r="EG9" s="40" t="n">
        <f aca="false">EE9+EF9</f>
        <v>7589.383426296</v>
      </c>
      <c r="EH9" s="40" t="n">
        <f aca="false">EG9*Premissas!$C$30</f>
        <v>455.36300557776</v>
      </c>
      <c r="EI9" s="40" t="n">
        <f aca="false">EG9*Premissas!$C$28+EC9*Premissas!$C$29</f>
        <v>292.33245682536</v>
      </c>
      <c r="EJ9" s="40" t="n">
        <f aca="false">DK9</f>
        <v>34.84141725</v>
      </c>
      <c r="EK9" s="40" t="n">
        <f aca="false">DN9</f>
        <v>2195</v>
      </c>
      <c r="EL9" s="40" t="n">
        <f aca="false">DO9+DP9</f>
        <v>1765.53402</v>
      </c>
      <c r="EM9" s="40" t="n">
        <f aca="false">EH9+EI9+EJ9+EK9+EL9</f>
        <v>4743.07089965312</v>
      </c>
      <c r="EN9" s="56" t="n">
        <f aca="false">EG9-EM9</f>
        <v>2846.31252664288</v>
      </c>
      <c r="EO9" s="56" t="n">
        <f aca="false">IF(CV9=1,Premissas!$C$8,N(EO8))+EN9</f>
        <v>4708.42068576688</v>
      </c>
      <c r="EP9" s="40" t="n">
        <f aca="false">DC9*Premissas!$F$13/12+DE9*Premissas!$F$14/12</f>
        <v>1217.332478808</v>
      </c>
      <c r="EQ9" s="40" t="n">
        <f aca="false">N(EQ8)+EF9-EP9</f>
        <v>11736.482443488</v>
      </c>
      <c r="ER9" s="1"/>
      <c r="ES9" s="1"/>
      <c r="ET9" s="1"/>
      <c r="EU9" s="1"/>
      <c r="EV9" s="1"/>
      <c r="EW9" s="1"/>
      <c r="EX9" s="1"/>
      <c r="EY9" s="1"/>
    </row>
    <row r="10" customFormat="false" ht="15" hidden="false" customHeight="false" outlineLevel="0" collapsed="false">
      <c r="A10" s="1"/>
      <c r="B10" s="51" t="n">
        <f aca="false">B9+1</f>
        <v>5</v>
      </c>
      <c r="C10" s="52" t="n">
        <f aca="false">EDATE(Premissas!$C$7,B10-1)</f>
        <v>46419</v>
      </c>
      <c r="D10" s="53" t="n">
        <f aca="false">Premissas!$C$19*(1+Premissas!$C$20)^(B10-1)</f>
        <v>4.50203524</v>
      </c>
      <c r="E10" s="54" t="n">
        <f aca="false">IFERROR(D10/Premissas!$C$25,0)</f>
        <v>45.0203524</v>
      </c>
      <c r="F10" s="53" t="n">
        <f aca="false">(N(H9)+N(J9))*Premissas!$C$21+AH10</f>
        <v>1.07113968</v>
      </c>
      <c r="G10" s="55" t="n">
        <f aca="false">H10+I10+J10+K10</f>
        <v>18.49359236</v>
      </c>
      <c r="H10" s="53" t="n">
        <f aca="false">N(H9)*(1-Premissas!$C$21)+AB10</f>
        <v>13.9144473306</v>
      </c>
      <c r="I10" s="53" t="n">
        <f aca="false">SUM(INDEX($AF$6:$AF$29,MAX(1,B10-11)):INDEX($AF$6:$AF$29,B10))</f>
        <v>1.8051061754</v>
      </c>
      <c r="J10" s="53" t="n">
        <f aca="false">N(J9)*(1-Premissas!$C$21)+AD10</f>
        <v>2.4554907054</v>
      </c>
      <c r="K10" s="53" t="n">
        <f aca="false">SUM(INDEX($AG$6:$AG$29,MAX(1,B10-11)):INDEX($AG$6:$AG$29,B10))</f>
        <v>0.3185481486</v>
      </c>
      <c r="L10" s="56" t="n">
        <f aca="false">H10*Premissas!$C$13+I10*Premissas!$F$13/12+J10*Premissas!$C$14+K10*Premissas!$F$14/12</f>
        <v>1132.72273967826</v>
      </c>
      <c r="M10" s="40" t="n">
        <f aca="false">L10*12</f>
        <v>13592.6728761392</v>
      </c>
      <c r="N10" s="40" t="n">
        <f aca="false">IFERROR(L10/G10,0)</f>
        <v>61.2494704992115</v>
      </c>
      <c r="O10" s="40" t="n">
        <f aca="false">L10*Premissas!$C$30</f>
        <v>67.9633643806958</v>
      </c>
      <c r="P10" s="40" t="n">
        <f aca="false">L10*Premissas!$C$28+AI10*Premissas!$C$29</f>
        <v>47.8871652531392</v>
      </c>
      <c r="Q10" s="40" t="n">
        <f aca="false">G10*Premissas!$C$31</f>
        <v>9.24679618</v>
      </c>
      <c r="R10" s="40" t="n">
        <f aca="false">L10-O10-P10-Q10</f>
        <v>1007.62541386443</v>
      </c>
      <c r="S10" s="57" t="n">
        <f aca="false">IFERROR(R10/L10,0)</f>
        <v>0.88956050635183</v>
      </c>
      <c r="T10" s="40" t="n">
        <f aca="false">SUMPRODUCT(Premissas!$C$42:$C$61,--(Premissas!$D$42:$D$61&lt;=B10))</f>
        <v>2195</v>
      </c>
      <c r="U10" s="40" t="n">
        <f aca="false">Premissas!$C$34*(1+Premissas!$C$35)^(B10-1)</f>
        <v>1688.263215</v>
      </c>
      <c r="V10" s="40" t="n">
        <f aca="false">D10*Premissas!$C$36*Premissas!$C$37</f>
        <v>27.01221144</v>
      </c>
      <c r="W10" s="40" t="n">
        <f aca="false">O10+P10+Q10+T10+U10+V10</f>
        <v>4035.37275225384</v>
      </c>
      <c r="X10" s="56" t="n">
        <f aca="false">L10-W10</f>
        <v>-2902.65001257557</v>
      </c>
      <c r="Y10" s="40" t="n">
        <f aca="false">N(Y9)+X10</f>
        <v>-15963.6807431544</v>
      </c>
      <c r="Z10" s="40" t="n">
        <f aca="false">IFERROR((U10+V10)/D10,0)</f>
        <v>381</v>
      </c>
      <c r="AA10" s="54" t="n">
        <f aca="false">IFERROR(T10/(R10/G10),0)</f>
        <v>40.286236007602</v>
      </c>
      <c r="AB10" s="58" t="n">
        <f aca="false">D10*(1-Premissas!$C$23)*(1-Premissas!$C$24)</f>
        <v>3.4440569586</v>
      </c>
      <c r="AC10" s="58" t="n">
        <f aca="false">D10*(1-Premissas!$C$23)*Premissas!$C$24</f>
        <v>0.3826729954</v>
      </c>
      <c r="AD10" s="58" t="n">
        <f aca="false">D10*Premissas!$C$23*(1-Premissas!$C$24)</f>
        <v>0.6077747574</v>
      </c>
      <c r="AE10" s="58" t="n">
        <f aca="false">D10*Premissas!$C$23*Premissas!$C$24</f>
        <v>0.0675305286</v>
      </c>
      <c r="AF10" s="58" t="n">
        <f aca="false">AC10+IF(B10&gt;12,INDEX($AC$6:$AC$29,B10-12)*Premissas!$C$22,0)</f>
        <v>0.3826729954</v>
      </c>
      <c r="AG10" s="58" t="n">
        <f aca="false">AE10+IF(B10&gt;12,INDEX($AE$6:$AE$29,B10-12)*Premissas!$C$22,0)</f>
        <v>0.0675305286</v>
      </c>
      <c r="AH10" s="58" t="n">
        <f aca="false">IF(B10&gt;12,(INDEX($AC$6:$AC$29,B10-12)+INDEX($AE$6:$AE$29,B10-12))*(1-Premissas!$C$22),0)</f>
        <v>0</v>
      </c>
      <c r="AI10" s="58" t="n">
        <f aca="false">H10+J10+AF10+AG10</f>
        <v>16.82014156</v>
      </c>
      <c r="AJ10" s="59" t="str">
        <f aca="false">IF(X10&gt;0,B10,"")</f>
        <v/>
      </c>
      <c r="AK10" s="40" t="n">
        <f aca="false">H10*Premissas!$C$13+J10*Premissas!$C$14</f>
        <v>1021.4841334464</v>
      </c>
      <c r="AL10" s="40" t="n">
        <f aca="false">AF10*Premissas!$F$13+AG10*Premissas!$F$14</f>
        <v>282.983978877156</v>
      </c>
      <c r="AM10" s="40" t="n">
        <f aca="false">AK10+AL10</f>
        <v>1304.46811232356</v>
      </c>
      <c r="AN10" s="40" t="n">
        <f aca="false">AM10*Premissas!$C$30</f>
        <v>78.2680867394134</v>
      </c>
      <c r="AO10" s="40" t="n">
        <f aca="false">AM10*Premissas!$C$28+AI10*Premissas!$C$29</f>
        <v>53.8982532957245</v>
      </c>
      <c r="AP10" s="40" t="n">
        <f aca="false">Q10</f>
        <v>9.24679618</v>
      </c>
      <c r="AQ10" s="40" t="n">
        <f aca="false">T10</f>
        <v>2195</v>
      </c>
      <c r="AR10" s="40" t="n">
        <f aca="false">U10+V10</f>
        <v>1715.27542644</v>
      </c>
      <c r="AS10" s="40" t="n">
        <f aca="false">AN10+AO10+AP10+AQ10+AR10</f>
        <v>4051.68856265514</v>
      </c>
      <c r="AT10" s="56" t="n">
        <f aca="false">AM10-AS10</f>
        <v>-2747.22045033158</v>
      </c>
      <c r="AU10" s="56" t="n">
        <f aca="false">IF(B10=1,Premissas!$C$8,N(AU9))+AT10</f>
        <v>-15051.6931227774</v>
      </c>
      <c r="AV10" s="40" t="n">
        <f aca="false">I10*Premissas!$F$13/12+K10*Premissas!$F$14/12</f>
        <v>111.238606231863</v>
      </c>
      <c r="AW10" s="40" t="n">
        <f aca="false">N(AW9)+AL10-AV10</f>
        <v>1007.72112748839</v>
      </c>
      <c r="AX10" s="1"/>
      <c r="AY10" s="51" t="n">
        <f aca="false">AY9+1</f>
        <v>5</v>
      </c>
      <c r="AZ10" s="52" t="n">
        <f aca="false">EDATE(Premissas!$C$7,AY10-1)</f>
        <v>46419</v>
      </c>
      <c r="BA10" s="53" t="n">
        <f aca="false">Premissas!$D$19*(1+Premissas!$D$20)^(AY10-1)</f>
        <v>10.48636808</v>
      </c>
      <c r="BB10" s="54" t="n">
        <f aca="false">IFERROR(BA10/Premissas!$D$25,0)</f>
        <v>52.4318404</v>
      </c>
      <c r="BC10" s="53" t="n">
        <f aca="false">(N(BE9)+N(BG9))*Premissas!$D$21+CE10</f>
        <v>1.32343936</v>
      </c>
      <c r="BD10" s="55" t="n">
        <f aca="false">BE10+BF10+BG10+BH10</f>
        <v>42.73562472</v>
      </c>
      <c r="BE10" s="53" t="n">
        <f aca="false">N(BE9)*(1-Premissas!$D$21)+BY10</f>
        <v>25.150831728</v>
      </c>
      <c r="BF10" s="53" t="n">
        <f aca="false">SUM(INDEX($CC$6:$CC$29,MAX(1,AY10-11)):INDEX($CC$6:$CC$29,AY10))</f>
        <v>6.900886812</v>
      </c>
      <c r="BG10" s="53" t="n">
        <f aca="false">N(BG9)*(1-Premissas!$D$21)+CA10</f>
        <v>8.383610576</v>
      </c>
      <c r="BH10" s="53" t="n">
        <f aca="false">SUM(INDEX($CD$6:$CD$29,MAX(1,AY10-11)):INDEX($CD$6:$CD$29,AY10))</f>
        <v>2.300295604</v>
      </c>
      <c r="BI10" s="56" t="n">
        <f aca="false">BE10*Premissas!$C$13+BF10*Premissas!$F$13/12+BG10*Premissas!$C$14+BH10*Premissas!$F$14/12</f>
        <v>2694.53645800746</v>
      </c>
      <c r="BJ10" s="40" t="n">
        <f aca="false">BI10*12</f>
        <v>32334.4374960895</v>
      </c>
      <c r="BK10" s="40" t="n">
        <f aca="false">IFERROR(BI10/BD10,0)</f>
        <v>63.0512944565997</v>
      </c>
      <c r="BL10" s="40" t="n">
        <f aca="false">BI10*Premissas!$C$30</f>
        <v>161.672187480448</v>
      </c>
      <c r="BM10" s="40" t="n">
        <f aca="false">BI10*Premissas!$C$28+CF10*Premissas!$C$29</f>
        <v>111.768316831061</v>
      </c>
      <c r="BN10" s="40" t="n">
        <f aca="false">BD10*Premissas!$C$31</f>
        <v>21.36781236</v>
      </c>
      <c r="BO10" s="40" t="n">
        <f aca="false">BI10-BL10-BM10-BN10</f>
        <v>2399.72814133595</v>
      </c>
      <c r="BP10" s="57" t="n">
        <f aca="false">IFERROR(BO10/BI10,0)</f>
        <v>0.890590340392161</v>
      </c>
      <c r="BQ10" s="40" t="n">
        <f aca="false">SUMPRODUCT(Premissas!$C$42:$C$61,--(Premissas!$D$42:$D$61&lt;=AY10))</f>
        <v>2195</v>
      </c>
      <c r="BR10" s="40" t="n">
        <f aca="false">Premissas!$C$34*(1+Premissas!$C$35)^(AY10-1)</f>
        <v>1688.263215</v>
      </c>
      <c r="BS10" s="40" t="n">
        <f aca="false">BA10*Premissas!$C$36*Premissas!$C$37</f>
        <v>62.91820848</v>
      </c>
      <c r="BT10" s="40" t="n">
        <f aca="false">BL10+BM10+BN10+BQ10+BR10+BS10</f>
        <v>4240.98974015151</v>
      </c>
      <c r="BU10" s="56" t="n">
        <f aca="false">BI10-BT10</f>
        <v>-1546.45328214405</v>
      </c>
      <c r="BV10" s="40" t="n">
        <f aca="false">N(BV9)+BU10</f>
        <v>-12174.4277396305</v>
      </c>
      <c r="BW10" s="40" t="n">
        <f aca="false">IFERROR((BR10+BS10)/BA10,0)</f>
        <v>166.995990424933</v>
      </c>
      <c r="BX10" s="54" t="n">
        <f aca="false">IFERROR(BQ10/(BO10/BD10),0)</f>
        <v>39.0897179745444</v>
      </c>
      <c r="BY10" s="58" t="n">
        <f aca="false">BA10*(1-Premissas!$D$23)*(1-Premissas!$D$24)</f>
        <v>6.291820848</v>
      </c>
      <c r="BZ10" s="58" t="n">
        <f aca="false">BA10*(1-Premissas!$D$23)*Premissas!$D$24</f>
        <v>1.572955212</v>
      </c>
      <c r="CA10" s="58" t="n">
        <f aca="false">BA10*Premissas!$D$23*(1-Premissas!$D$24)</f>
        <v>2.097273616</v>
      </c>
      <c r="CB10" s="58" t="n">
        <f aca="false">BA10*Premissas!$D$23*Premissas!$D$24</f>
        <v>0.524318404</v>
      </c>
      <c r="CC10" s="58" t="n">
        <f aca="false">BZ10+IF(AY10&gt;12,INDEX($BZ$6:$BZ$29,AY10-12)*Premissas!$D$22,0)</f>
        <v>1.572955212</v>
      </c>
      <c r="CD10" s="58" t="n">
        <f aca="false">CB10+IF(AY10&gt;12,INDEX($CB$6:$CB$29,AY10-12)*Premissas!$D$22,0)</f>
        <v>0.524318404</v>
      </c>
      <c r="CE10" s="58" t="n">
        <f aca="false">IF(AY10&gt;12,(INDEX($BZ$6:$BZ$29,AY10-12)+INDEX($CB$6:$CB$29,AY10-12))*(1-Premissas!$D$22),0)</f>
        <v>0</v>
      </c>
      <c r="CF10" s="58" t="n">
        <f aca="false">BE10+BG10+CC10+CD10</f>
        <v>35.63171592</v>
      </c>
      <c r="CG10" s="59" t="str">
        <f aca="false">IF(BU10&gt;0,AY10,"")</f>
        <v/>
      </c>
      <c r="CH10" s="40" t="n">
        <f aca="false">BE10*Premissas!$C$13+BG10*Premissas!$C$14</f>
        <v>2193.1525266816</v>
      </c>
      <c r="CI10" s="40" t="n">
        <f aca="false">CC10*Premissas!$F$13+CD10*Premissas!$F$14</f>
        <v>1371.39673113432</v>
      </c>
      <c r="CJ10" s="40" t="n">
        <f aca="false">CH10+CI10</f>
        <v>3564.54925781592</v>
      </c>
      <c r="CK10" s="40" t="n">
        <f aca="false">CJ10*Premissas!$C$30</f>
        <v>213.872955468955</v>
      </c>
      <c r="CL10" s="40" t="n">
        <f aca="false">CJ10*Premissas!$C$28+CF10*Premissas!$C$29</f>
        <v>142.218764824357</v>
      </c>
      <c r="CM10" s="40" t="n">
        <f aca="false">BN10</f>
        <v>21.36781236</v>
      </c>
      <c r="CN10" s="40" t="n">
        <f aca="false">BQ10</f>
        <v>2195</v>
      </c>
      <c r="CO10" s="40" t="n">
        <f aca="false">BR10+BS10</f>
        <v>1751.18142348</v>
      </c>
      <c r="CP10" s="40" t="n">
        <f aca="false">CK10+CL10+CM10+CN10+CO10</f>
        <v>4323.64095613331</v>
      </c>
      <c r="CQ10" s="56" t="n">
        <f aca="false">CJ10-CP10</f>
        <v>-759.091698317393</v>
      </c>
      <c r="CR10" s="56" t="n">
        <f aca="false">IF(AY10=1,Premissas!$C$8,N(CR9))+CQ10</f>
        <v>-8029.37652970871</v>
      </c>
      <c r="CS10" s="40" t="n">
        <f aca="false">BF10*Premissas!$F$13/12+BH10*Premissas!$F$14/12</f>
        <v>501.38393132586</v>
      </c>
      <c r="CT10" s="40" t="n">
        <f aca="false">N(CT9)+CI10-CS10</f>
        <v>4580.16708278646</v>
      </c>
      <c r="CU10" s="1"/>
      <c r="CV10" s="51" t="n">
        <f aca="false">CV9+1</f>
        <v>5</v>
      </c>
      <c r="CW10" s="52" t="n">
        <f aca="false">EDATE(Premissas!$C$7,CV10-1)</f>
        <v>46419</v>
      </c>
      <c r="CX10" s="53" t="n">
        <f aca="false">Premissas!$E$19*(1+Premissas!$E$20)^(CV10-1)</f>
        <v>23.6027904</v>
      </c>
      <c r="CY10" s="54" t="n">
        <f aca="false">IFERROR(CX10/Premissas!$E$25,0)</f>
        <v>78.675968</v>
      </c>
      <c r="CZ10" s="53" t="n">
        <f aca="false">(N(DB9)+N(DD9))*Premissas!$E$21+EB10</f>
        <v>1.445275755</v>
      </c>
      <c r="DA10" s="55" t="n">
        <f aca="false">DB10+DC10+DD10+DE10</f>
        <v>91.840349145</v>
      </c>
      <c r="DB10" s="53" t="n">
        <f aca="false">N(DB9)*(1-Premissas!$E$21)+DV10</f>
        <v>41.11414841625</v>
      </c>
      <c r="DC10" s="53" t="n">
        <f aca="false">SUM(INDEX($DZ$6:$DZ$29,MAX(1,CV10-11)):INDEX($DZ$6:$DZ$29,CV10))</f>
        <v>18.582078528</v>
      </c>
      <c r="DD10" s="53" t="n">
        <f aca="false">N(DD9)*(1-Premissas!$E$21)+DX10</f>
        <v>22.13838760875</v>
      </c>
      <c r="DE10" s="53" t="n">
        <f aca="false">SUM(INDEX($EA$6:$EA$29,MAX(1,CV10-11)):INDEX($EA$6:$EA$29,CV10))</f>
        <v>10.005734592</v>
      </c>
      <c r="DF10" s="56" t="n">
        <f aca="false">DB10*Premissas!$C$13+DC10*Premissas!$F$13/12+DD10*Premissas!$C$14+DE10*Premissas!$F$14/12</f>
        <v>5944.59371537496</v>
      </c>
      <c r="DG10" s="40" t="n">
        <f aca="false">DF10*12</f>
        <v>71335.1245844995</v>
      </c>
      <c r="DH10" s="40" t="n">
        <f aca="false">IFERROR(DF10/DA10,0)</f>
        <v>64.727472954066</v>
      </c>
      <c r="DI10" s="40" t="n">
        <f aca="false">DF10*Premissas!$C$30</f>
        <v>356.675622922498</v>
      </c>
      <c r="DJ10" s="40" t="n">
        <f aca="false">DF10*Premissas!$C$28+EC10*Premissas!$C$29</f>
        <v>242.524132879174</v>
      </c>
      <c r="DK10" s="40" t="n">
        <f aca="false">DA10*Premissas!$C$31</f>
        <v>45.9201745725</v>
      </c>
      <c r="DL10" s="40" t="n">
        <f aca="false">DF10-DI10-DJ10-DK10</f>
        <v>5299.47378500079</v>
      </c>
      <c r="DM10" s="57" t="n">
        <f aca="false">IFERROR(DL10/DF10,0)</f>
        <v>0.891477876998449</v>
      </c>
      <c r="DN10" s="40" t="n">
        <f aca="false">SUMPRODUCT(Premissas!$C$42:$C$61,--(Premissas!$D$42:$D$61&lt;=CV10))</f>
        <v>2195</v>
      </c>
      <c r="DO10" s="40" t="n">
        <f aca="false">Premissas!$C$34*(1+Premissas!$C$35)^(CV10-1)</f>
        <v>1688.263215</v>
      </c>
      <c r="DP10" s="40" t="n">
        <f aca="false">CX10*Premissas!$C$36*Premissas!$C$37</f>
        <v>141.6167424</v>
      </c>
      <c r="DQ10" s="40" t="n">
        <f aca="false">DI10+DJ10+DK10+DN10+DO10+DP10</f>
        <v>4669.99988777417</v>
      </c>
      <c r="DR10" s="56" t="n">
        <f aca="false">DF10-DQ10</f>
        <v>1274.59382760079</v>
      </c>
      <c r="DS10" s="40" t="n">
        <f aca="false">N(DS9)+DR10</f>
        <v>-4638.50209798897</v>
      </c>
      <c r="DT10" s="40" t="n">
        <f aca="false">IFERROR((DO10+DP10)/CX10,0)</f>
        <v>77.5281196158908</v>
      </c>
      <c r="DU10" s="54" t="n">
        <f aca="false">IFERROR(DN10/(DL10/DA10),0)</f>
        <v>38.0395440286615</v>
      </c>
      <c r="DV10" s="58" t="n">
        <f aca="false">CX10*(1-Premissas!$E$23)*(1-Premissas!$E$24)</f>
        <v>10.739269632</v>
      </c>
      <c r="DW10" s="58" t="n">
        <f aca="false">CX10*(1-Premissas!$E$23)*Premissas!$E$24</f>
        <v>4.602544128</v>
      </c>
      <c r="DX10" s="58" t="n">
        <f aca="false">CX10*Premissas!$E$23*(1-Premissas!$E$24)</f>
        <v>5.782683648</v>
      </c>
      <c r="DY10" s="58" t="n">
        <f aca="false">CX10*Premissas!$E$23*Premissas!$E$24</f>
        <v>2.478292992</v>
      </c>
      <c r="DZ10" s="58" t="n">
        <f aca="false">DW10+IF(CV10&gt;12,INDEX($DW$6:$DW$29,CV10-12)*Premissas!$E$22,0)</f>
        <v>4.602544128</v>
      </c>
      <c r="EA10" s="58" t="n">
        <f aca="false">DY10+IF(CV10&gt;12,INDEX($DY$6:$DY$29,CV10-12)*Premissas!$E$22,0)</f>
        <v>2.478292992</v>
      </c>
      <c r="EB10" s="58" t="n">
        <f aca="false">IF(CV10&gt;12,(INDEX($DW$6:$DW$29,CV10-12)+INDEX($DY$6:$DY$29,CV10-12))*(1-Premissas!$E$22),0)</f>
        <v>0</v>
      </c>
      <c r="EC10" s="58" t="n">
        <f aca="false">DB10+DD10+DZ10+EA10</f>
        <v>70.333373145</v>
      </c>
      <c r="ED10" s="59" t="n">
        <f aca="false">IF(DR10&gt;0,CV10,"")</f>
        <v>5</v>
      </c>
      <c r="EE10" s="40" t="n">
        <f aca="false">DB10*Premissas!$C$13+DD10*Premissas!$C$14</f>
        <v>4326.47346411</v>
      </c>
      <c r="EF10" s="40" t="n">
        <f aca="false">DZ10*Premissas!$F$13+EA10*Premissas!$F$14</f>
        <v>4809.45326948352</v>
      </c>
      <c r="EG10" s="40" t="n">
        <f aca="false">EE10+EF10</f>
        <v>9135.92673359352</v>
      </c>
      <c r="EH10" s="40" t="n">
        <f aca="false">EG10*Premissas!$C$30</f>
        <v>548.155604015611</v>
      </c>
      <c r="EI10" s="40" t="n">
        <f aca="false">EG10*Premissas!$C$28+EC10*Premissas!$C$29</f>
        <v>354.220788516823</v>
      </c>
      <c r="EJ10" s="40" t="n">
        <f aca="false">DK10</f>
        <v>45.9201745725</v>
      </c>
      <c r="EK10" s="40" t="n">
        <f aca="false">DN10</f>
        <v>2195</v>
      </c>
      <c r="EL10" s="40" t="n">
        <f aca="false">DO10+DP10</f>
        <v>1829.8799574</v>
      </c>
      <c r="EM10" s="40" t="n">
        <f aca="false">EH10+EI10+EJ10+EK10+EL10</f>
        <v>4973.17652450494</v>
      </c>
      <c r="EN10" s="56" t="n">
        <f aca="false">EG10-EM10</f>
        <v>4162.75020908859</v>
      </c>
      <c r="EO10" s="56" t="n">
        <f aca="false">IF(CV10=1,Premissas!$C$8,N(EO9))+EN10</f>
        <v>8871.17089485547</v>
      </c>
      <c r="EP10" s="40" t="n">
        <f aca="false">DC10*Premissas!$F$13/12+DE10*Premissas!$F$14/12</f>
        <v>1618.12025126496</v>
      </c>
      <c r="EQ10" s="40" t="n">
        <f aca="false">N(EQ9)+EF10-EP10</f>
        <v>14927.8154617066</v>
      </c>
      <c r="ER10" s="1"/>
      <c r="ES10" s="1"/>
      <c r="ET10" s="1"/>
      <c r="EU10" s="1"/>
      <c r="EV10" s="1"/>
      <c r="EW10" s="1"/>
      <c r="EX10" s="1"/>
      <c r="EY10" s="1"/>
    </row>
    <row r="11" customFormat="false" ht="15" hidden="false" customHeight="false" outlineLevel="0" collapsed="false">
      <c r="A11" s="1"/>
      <c r="B11" s="51" t="n">
        <f aca="false">B10+1</f>
        <v>6</v>
      </c>
      <c r="C11" s="52" t="n">
        <f aca="false">EDATE(Premissas!$C$7,B11-1)</f>
        <v>46447</v>
      </c>
      <c r="D11" s="53" t="n">
        <f aca="false">Premissas!$C$19*(1+Premissas!$C$20)^(B11-1)</f>
        <v>4.6370962972</v>
      </c>
      <c r="E11" s="54" t="n">
        <f aca="false">IFERROR(D11/Premissas!$C$25,0)</f>
        <v>46.370962972</v>
      </c>
      <c r="F11" s="53" t="n">
        <f aca="false">(N(H10)+N(J10))*Premissas!$C$21+AH11</f>
        <v>1.30959504288</v>
      </c>
      <c r="G11" s="55" t="n">
        <f aca="false">H11+I11+J11+K11</f>
        <v>21.82109361432</v>
      </c>
      <c r="H11" s="53" t="n">
        <f aca="false">N(H10)*(1-Premissas!$C$21)+AB11</f>
        <v>16.34867021151</v>
      </c>
      <c r="I11" s="53" t="n">
        <f aca="false">SUM(INDEX($AF$6:$AF$29,MAX(1,B11-11)):INDEX($AF$6:$AF$29,B11))</f>
        <v>2.199259360662</v>
      </c>
      <c r="J11" s="53" t="n">
        <f aca="false">N(J10)*(1-Premissas!$C$21)+AD11</f>
        <v>2.88505944909</v>
      </c>
      <c r="K11" s="53" t="n">
        <f aca="false">SUM(INDEX($AG$6:$AG$29,MAX(1,B11-11)):INDEX($AG$6:$AG$29,B11))</f>
        <v>0.388104593058</v>
      </c>
      <c r="L11" s="56" t="n">
        <f aca="false">H11*Premissas!$C$13+I11*Premissas!$F$13/12+J11*Premissas!$C$14+K11*Premissas!$F$14/12</f>
        <v>1335.71279524026</v>
      </c>
      <c r="M11" s="40" t="n">
        <f aca="false">L11*12</f>
        <v>16028.5535428831</v>
      </c>
      <c r="N11" s="40" t="n">
        <f aca="false">IFERROR(L11/G11,0)</f>
        <v>61.2120005921107</v>
      </c>
      <c r="O11" s="40" t="n">
        <f aca="false">L11*Premissas!$C$30</f>
        <v>80.1427677144156</v>
      </c>
      <c r="P11" s="40" t="n">
        <f aca="false">L11*Premissas!$C$28+AI11*Premissas!$C$29</f>
        <v>56.4016930856659</v>
      </c>
      <c r="Q11" s="40" t="n">
        <f aca="false">G11*Premissas!$C$31</f>
        <v>10.91054680716</v>
      </c>
      <c r="R11" s="40" t="n">
        <f aca="false">L11-O11-P11-Q11</f>
        <v>1188.25778763302</v>
      </c>
      <c r="S11" s="57" t="n">
        <f aca="false">IFERROR(R11/L11,0)</f>
        <v>0.889605753472835</v>
      </c>
      <c r="T11" s="40" t="n">
        <f aca="false">SUMPRODUCT(Premissas!$C$42:$C$61,--(Premissas!$D$42:$D$61&lt;=B11))</f>
        <v>2195</v>
      </c>
      <c r="U11" s="40" t="n">
        <f aca="false">Premissas!$C$34*(1+Premissas!$C$35)^(B11-1)</f>
        <v>1738.91111145</v>
      </c>
      <c r="V11" s="40" t="n">
        <f aca="false">D11*Premissas!$C$36*Premissas!$C$37</f>
        <v>27.8225777832</v>
      </c>
      <c r="W11" s="40" t="n">
        <f aca="false">O11+P11+Q11+T11+U11+V11</f>
        <v>4109.18869684044</v>
      </c>
      <c r="X11" s="56" t="n">
        <f aca="false">L11-W11</f>
        <v>-2773.47590160018</v>
      </c>
      <c r="Y11" s="40" t="n">
        <f aca="false">N(Y10)+X11</f>
        <v>-18737.1566447546</v>
      </c>
      <c r="Z11" s="40" t="n">
        <f aca="false">IFERROR((U11+V11)/D11,0)</f>
        <v>381</v>
      </c>
      <c r="AA11" s="54" t="n">
        <f aca="false">IFERROR(T11/(R11/G11),0)</f>
        <v>40.3088462637747</v>
      </c>
      <c r="AB11" s="58" t="n">
        <f aca="false">D11*(1-Premissas!$C$23)*(1-Premissas!$C$24)</f>
        <v>3.547378667358</v>
      </c>
      <c r="AC11" s="58" t="n">
        <f aca="false">D11*(1-Premissas!$C$23)*Premissas!$C$24</f>
        <v>0.394153185262</v>
      </c>
      <c r="AD11" s="58" t="n">
        <f aca="false">D11*Premissas!$C$23*(1-Premissas!$C$24)</f>
        <v>0.626008000122</v>
      </c>
      <c r="AE11" s="58" t="n">
        <f aca="false">D11*Premissas!$C$23*Premissas!$C$24</f>
        <v>0.069556444458</v>
      </c>
      <c r="AF11" s="58" t="n">
        <f aca="false">AC11+IF(B11&gt;12,INDEX($AC$6:$AC$29,B11-12)*Premissas!$C$22,0)</f>
        <v>0.394153185262</v>
      </c>
      <c r="AG11" s="58" t="n">
        <f aca="false">AE11+IF(B11&gt;12,INDEX($AE$6:$AE$29,B11-12)*Premissas!$C$22,0)</f>
        <v>0.069556444458</v>
      </c>
      <c r="AH11" s="58" t="n">
        <f aca="false">IF(B11&gt;12,(INDEX($AC$6:$AC$29,B11-12)+INDEX($AE$6:$AE$29,B11-12))*(1-Premissas!$C$22),0)</f>
        <v>0</v>
      </c>
      <c r="AI11" s="58" t="n">
        <f aca="false">H11+J11+AF11+AG11</f>
        <v>19.69743929032</v>
      </c>
      <c r="AJ11" s="59" t="str">
        <f aca="false">IF(X11&gt;0,B11,"")</f>
        <v/>
      </c>
      <c r="AK11" s="40" t="n">
        <f aca="false">H11*Premissas!$C$13+J11*Premissas!$C$14</f>
        <v>1200.18473082144</v>
      </c>
      <c r="AL11" s="40" t="n">
        <f aca="false">AF11*Premissas!$F$13+AG11*Premissas!$F$14</f>
        <v>291.473498243471</v>
      </c>
      <c r="AM11" s="40" t="n">
        <f aca="false">AK11+AL11</f>
        <v>1491.65822906491</v>
      </c>
      <c r="AN11" s="40" t="n">
        <f aca="false">AM11*Premissas!$C$30</f>
        <v>89.4994937438947</v>
      </c>
      <c r="AO11" s="40" t="n">
        <f aca="false">AM11*Premissas!$C$28+AI11*Premissas!$C$29</f>
        <v>61.8597832695287</v>
      </c>
      <c r="AP11" s="40" t="n">
        <f aca="false">Q11</f>
        <v>10.91054680716</v>
      </c>
      <c r="AQ11" s="40" t="n">
        <f aca="false">T11</f>
        <v>2195</v>
      </c>
      <c r="AR11" s="40" t="n">
        <f aca="false">U11+V11</f>
        <v>1766.7336892332</v>
      </c>
      <c r="AS11" s="40" t="n">
        <f aca="false">AN11+AO11+AP11+AQ11+AR11</f>
        <v>4124.00351305378</v>
      </c>
      <c r="AT11" s="56" t="n">
        <f aca="false">AM11-AS11</f>
        <v>-2632.34528398887</v>
      </c>
      <c r="AU11" s="56" t="n">
        <f aca="false">IF(B11=1,Premissas!$C$8,N(AU10))+AT11</f>
        <v>-17684.0384067663</v>
      </c>
      <c r="AV11" s="40" t="n">
        <f aca="false">I11*Premissas!$F$13/12+K11*Premissas!$F$14/12</f>
        <v>135.528064418819</v>
      </c>
      <c r="AW11" s="40" t="n">
        <f aca="false">N(AW10)+AL11-AV11</f>
        <v>1163.66656131305</v>
      </c>
      <c r="AX11" s="1"/>
      <c r="AY11" s="51" t="n">
        <f aca="false">AY10+1</f>
        <v>6</v>
      </c>
      <c r="AZ11" s="52" t="n">
        <f aca="false">EDATE(Premissas!$C$7,AY11-1)</f>
        <v>46447</v>
      </c>
      <c r="BA11" s="53" t="n">
        <f aca="false">Premissas!$D$19*(1+Premissas!$D$20)^(AY11-1)</f>
        <v>11.2204138456</v>
      </c>
      <c r="BB11" s="54" t="n">
        <f aca="false">IFERROR(BA11/Premissas!$D$25,0)</f>
        <v>56.102069228</v>
      </c>
      <c r="BC11" s="53" t="n">
        <f aca="false">(N(BE10)+N(BG10))*Premissas!$D$21+CE11</f>
        <v>1.6767221152</v>
      </c>
      <c r="BD11" s="55" t="n">
        <f aca="false">BE11+BF11+BG11+BH11</f>
        <v>52.2793164504</v>
      </c>
      <c r="BE11" s="53" t="n">
        <f aca="false">N(BE10)*(1-Premissas!$D$21)+BY11</f>
        <v>30.62553844896</v>
      </c>
      <c r="BF11" s="53" t="n">
        <f aca="false">SUM(INDEX($CC$6:$CC$29,MAX(1,AY11-11)):INDEX($CC$6:$CC$29,AY11))</f>
        <v>8.58394888884</v>
      </c>
      <c r="BG11" s="53" t="n">
        <f aca="false">N(BG10)*(1-Premissas!$D$21)+CA11</f>
        <v>10.20851281632</v>
      </c>
      <c r="BH11" s="53" t="n">
        <f aca="false">SUM(INDEX($CD$6:$CD$29,MAX(1,AY11-11)):INDEX($CD$6:$CD$29,AY11))</f>
        <v>2.86131629628</v>
      </c>
      <c r="BI11" s="56" t="n">
        <f aca="false">BE11*Premissas!$C$13+BF11*Premissas!$F$13/12+BG11*Premissas!$C$14+BH11*Premissas!$F$14/12</f>
        <v>3294.21375926798</v>
      </c>
      <c r="BJ11" s="40" t="n">
        <f aca="false">BI11*12</f>
        <v>39530.5651112158</v>
      </c>
      <c r="BK11" s="40" t="n">
        <f aca="false">IFERROR(BI11/BD11,0)</f>
        <v>63.0117986028637</v>
      </c>
      <c r="BL11" s="40" t="n">
        <f aca="false">BI11*Premissas!$C$30</f>
        <v>197.652825556079</v>
      </c>
      <c r="BM11" s="40" t="n">
        <f aca="false">BI11*Premissas!$C$28+CF11*Premissas!$C$29</f>
        <v>136.405767251235</v>
      </c>
      <c r="BN11" s="40" t="n">
        <f aca="false">BD11*Premissas!$C$31</f>
        <v>26.1396582252</v>
      </c>
      <c r="BO11" s="40" t="n">
        <f aca="false">BI11-BL11-BM11-BN11</f>
        <v>2934.01550823547</v>
      </c>
      <c r="BP11" s="57" t="n">
        <f aca="false">IFERROR(BO11/BI11,0)</f>
        <v>0.890657292648624</v>
      </c>
      <c r="BQ11" s="40" t="n">
        <f aca="false">SUMPRODUCT(Premissas!$C$42:$C$61,--(Premissas!$D$42:$D$61&lt;=AY11))</f>
        <v>2195</v>
      </c>
      <c r="BR11" s="40" t="n">
        <f aca="false">Premissas!$C$34*(1+Premissas!$C$35)^(AY11-1)</f>
        <v>1738.91111145</v>
      </c>
      <c r="BS11" s="40" t="n">
        <f aca="false">BA11*Premissas!$C$36*Premissas!$C$37</f>
        <v>67.3224830736</v>
      </c>
      <c r="BT11" s="40" t="n">
        <f aca="false">BL11+BM11+BN11+BQ11+BR11+BS11</f>
        <v>4361.43184555611</v>
      </c>
      <c r="BU11" s="56" t="n">
        <f aca="false">BI11-BT11</f>
        <v>-1067.21808628813</v>
      </c>
      <c r="BV11" s="40" t="n">
        <f aca="false">N(BV10)+BU11</f>
        <v>-13241.6458259186</v>
      </c>
      <c r="BW11" s="40" t="n">
        <f aca="false">IFERROR((BR11+BS11)/BA11,0)</f>
        <v>160.977448726804</v>
      </c>
      <c r="BX11" s="54" t="n">
        <f aca="false">IFERROR(BQ11/(BO11/BD11),0)</f>
        <v>39.111279162134</v>
      </c>
      <c r="BY11" s="58" t="n">
        <f aca="false">BA11*(1-Premissas!$D$23)*(1-Premissas!$D$24)</f>
        <v>6.73224830736</v>
      </c>
      <c r="BZ11" s="58" t="n">
        <f aca="false">BA11*(1-Premissas!$D$23)*Premissas!$D$24</f>
        <v>1.68306207684</v>
      </c>
      <c r="CA11" s="58" t="n">
        <f aca="false">BA11*Premissas!$D$23*(1-Premissas!$D$24)</f>
        <v>2.24408276912</v>
      </c>
      <c r="CB11" s="58" t="n">
        <f aca="false">BA11*Premissas!$D$23*Premissas!$D$24</f>
        <v>0.56102069228</v>
      </c>
      <c r="CC11" s="58" t="n">
        <f aca="false">BZ11+IF(AY11&gt;12,INDEX($BZ$6:$BZ$29,AY11-12)*Premissas!$D$22,0)</f>
        <v>1.68306207684</v>
      </c>
      <c r="CD11" s="58" t="n">
        <f aca="false">CB11+IF(AY11&gt;12,INDEX($CB$6:$CB$29,AY11-12)*Premissas!$D$22,0)</f>
        <v>0.56102069228</v>
      </c>
      <c r="CE11" s="58" t="n">
        <f aca="false">IF(AY11&gt;12,(INDEX($BZ$6:$BZ$29,AY11-12)+INDEX($CB$6:$CB$29,AY11-12))*(1-Premissas!$D$22),0)</f>
        <v>0</v>
      </c>
      <c r="CF11" s="58" t="n">
        <f aca="false">BE11+BG11+CC11+CD11</f>
        <v>43.0781340344</v>
      </c>
      <c r="CG11" s="59" t="str">
        <f aca="false">IF(BU11&gt;0,AY11,"")</f>
        <v/>
      </c>
      <c r="CH11" s="40" t="n">
        <f aca="false">BE11*Premissas!$C$13+BG11*Premissas!$C$14</f>
        <v>2670.54695274931</v>
      </c>
      <c r="CI11" s="40" t="n">
        <f aca="false">CC11*Premissas!$F$13+CD11*Premissas!$F$14</f>
        <v>1467.39450231372</v>
      </c>
      <c r="CJ11" s="40" t="n">
        <f aca="false">CH11+CI11</f>
        <v>4137.94145506304</v>
      </c>
      <c r="CK11" s="40" t="n">
        <f aca="false">CJ11*Premissas!$C$30</f>
        <v>248.276487303782</v>
      </c>
      <c r="CL11" s="40" t="n">
        <f aca="false">CJ11*Premissas!$C$28+CF11*Premissas!$C$29</f>
        <v>165.936236604062</v>
      </c>
      <c r="CM11" s="40" t="n">
        <f aca="false">BN11</f>
        <v>26.1396582252</v>
      </c>
      <c r="CN11" s="40" t="n">
        <f aca="false">BQ11</f>
        <v>2195</v>
      </c>
      <c r="CO11" s="40" t="n">
        <f aca="false">BR11+BS11</f>
        <v>1806.2335945236</v>
      </c>
      <c r="CP11" s="40" t="n">
        <f aca="false">CK11+CL11+CM11+CN11+CO11</f>
        <v>4441.58597665665</v>
      </c>
      <c r="CQ11" s="56" t="n">
        <f aca="false">CJ11-CP11</f>
        <v>-303.644521593609</v>
      </c>
      <c r="CR11" s="56" t="n">
        <f aca="false">IF(AY11=1,Premissas!$C$8,N(CR10))+CQ11</f>
        <v>-8333.02105130232</v>
      </c>
      <c r="CS11" s="40" t="n">
        <f aca="false">BF11*Premissas!$F$13/12+BH11*Premissas!$F$14/12</f>
        <v>623.66680651867</v>
      </c>
      <c r="CT11" s="40" t="n">
        <f aca="false">N(CT10)+CI11-CS11</f>
        <v>5423.89477858151</v>
      </c>
      <c r="CU11" s="1"/>
      <c r="CV11" s="51" t="n">
        <f aca="false">CV10+1</f>
        <v>6</v>
      </c>
      <c r="CW11" s="52" t="n">
        <f aca="false">EDATE(Premissas!$C$7,CV11-1)</f>
        <v>46447</v>
      </c>
      <c r="CX11" s="53" t="n">
        <f aca="false">Premissas!$E$19*(1+Premissas!$E$20)^(CV11-1)</f>
        <v>26.435125248</v>
      </c>
      <c r="CY11" s="54" t="n">
        <f aca="false">IFERROR(CX11/Premissas!$E$25,0)</f>
        <v>88.1170841600001</v>
      </c>
      <c r="CZ11" s="53" t="n">
        <f aca="false">(N(DB10)+N(DD10))*Premissas!$E$21+EB11</f>
        <v>1.89757608075</v>
      </c>
      <c r="DA11" s="55" t="n">
        <f aca="false">DB11+DC11+DD11+DE11</f>
        <v>116.37789831225</v>
      </c>
      <c r="DB11" s="53" t="n">
        <f aca="false">N(DB10)*(1-Premissas!$E$21)+DV11</f>
        <v>51.9087059516025</v>
      </c>
      <c r="DC11" s="53" t="n">
        <f aca="false">SUM(INDEX($DZ$6:$DZ$29,MAX(1,CV11-11)):INDEX($DZ$6:$DZ$29,CV11))</f>
        <v>23.73692795136</v>
      </c>
      <c r="DD11" s="53" t="n">
        <f aca="false">N(DD10)*(1-Premissas!$E$21)+DX11</f>
        <v>27.9508416662475</v>
      </c>
      <c r="DE11" s="53" t="n">
        <f aca="false">SUM(INDEX($EA$6:$EA$29,MAX(1,CV11-11)):INDEX($EA$6:$EA$29,CV11))</f>
        <v>12.78142274304</v>
      </c>
      <c r="DF11" s="56" t="n">
        <f aca="false">DB11*Premissas!$C$13+DC11*Premissas!$F$13/12+DD11*Premissas!$C$14+DE11*Premissas!$F$14/12</f>
        <v>7529.3956134777</v>
      </c>
      <c r="DG11" s="40" t="n">
        <f aca="false">DF11*12</f>
        <v>90352.7473617324</v>
      </c>
      <c r="DH11" s="40" t="n">
        <f aca="false">IFERROR(DF11/DA11,0)</f>
        <v>64.6978139549814</v>
      </c>
      <c r="DI11" s="40" t="n">
        <f aca="false">DF11*Premissas!$C$30</f>
        <v>451.763736808662</v>
      </c>
      <c r="DJ11" s="40" t="n">
        <f aca="false">DF11*Premissas!$C$28+EC11*Premissas!$C$29</f>
        <v>306.545988215922</v>
      </c>
      <c r="DK11" s="40" t="n">
        <f aca="false">DA11*Premissas!$C$31</f>
        <v>58.188949156125</v>
      </c>
      <c r="DL11" s="40" t="n">
        <f aca="false">DF11-DI11-DJ11-DK11</f>
        <v>6712.89693929699</v>
      </c>
      <c r="DM11" s="57" t="n">
        <f aca="false">IFERROR(DL11/DF11,0)</f>
        <v>0.89155853721922</v>
      </c>
      <c r="DN11" s="40" t="n">
        <f aca="false">SUMPRODUCT(Premissas!$C$42:$C$61,--(Premissas!$D$42:$D$61&lt;=CV11))</f>
        <v>2195</v>
      </c>
      <c r="DO11" s="40" t="n">
        <f aca="false">Premissas!$C$34*(1+Premissas!$C$35)^(CV11-1)</f>
        <v>1738.91111145</v>
      </c>
      <c r="DP11" s="40" t="n">
        <f aca="false">CX11*Premissas!$C$36*Premissas!$C$37</f>
        <v>158.610751488</v>
      </c>
      <c r="DQ11" s="40" t="n">
        <f aca="false">DI11+DJ11+DK11+DN11+DO11+DP11</f>
        <v>4909.02053711871</v>
      </c>
      <c r="DR11" s="56" t="n">
        <f aca="false">DF11-DQ11</f>
        <v>2620.37507635899</v>
      </c>
      <c r="DS11" s="40" t="n">
        <f aca="false">N(DS10)+DR11</f>
        <v>-2018.12702162998</v>
      </c>
      <c r="DT11" s="40" t="n">
        <f aca="false">IFERROR((DO11+DP11)/CX11,0)</f>
        <v>71.7803242896139</v>
      </c>
      <c r="DU11" s="54" t="n">
        <f aca="false">IFERROR(DN11/(DL11/DA11),0)</f>
        <v>38.0535391955743</v>
      </c>
      <c r="DV11" s="58" t="n">
        <f aca="false">CX11*(1-Premissas!$E$23)*(1-Premissas!$E$24)</f>
        <v>12.02798198784</v>
      </c>
      <c r="DW11" s="58" t="n">
        <f aca="false">CX11*(1-Premissas!$E$23)*Premissas!$E$24</f>
        <v>5.15484942336</v>
      </c>
      <c r="DX11" s="58" t="n">
        <f aca="false">CX11*Premissas!$E$23*(1-Premissas!$E$24)</f>
        <v>6.47660568576</v>
      </c>
      <c r="DY11" s="58" t="n">
        <f aca="false">CX11*Premissas!$E$23*Premissas!$E$24</f>
        <v>2.77568815104</v>
      </c>
      <c r="DZ11" s="58" t="n">
        <f aca="false">DW11+IF(CV11&gt;12,INDEX($DW$6:$DW$29,CV11-12)*Premissas!$E$22,0)</f>
        <v>5.15484942336</v>
      </c>
      <c r="EA11" s="58" t="n">
        <f aca="false">DY11+IF(CV11&gt;12,INDEX($DY$6:$DY$29,CV11-12)*Premissas!$E$22,0)</f>
        <v>2.77568815104</v>
      </c>
      <c r="EB11" s="58" t="n">
        <f aca="false">IF(CV11&gt;12,(INDEX($DW$6:$DW$29,CV11-12)+INDEX($DY$6:$DY$29,CV11-12))*(1-Premissas!$E$22),0)</f>
        <v>0</v>
      </c>
      <c r="EC11" s="58" t="n">
        <f aca="false">DB11+DD11+DZ11+EA11</f>
        <v>87.79008519225</v>
      </c>
      <c r="ED11" s="59" t="n">
        <f aca="false">IF(DR11&gt;0,CV11,"")</f>
        <v>6</v>
      </c>
      <c r="EE11" s="40" t="n">
        <f aca="false">DB11*Premissas!$C$13+DD11*Premissas!$C$14</f>
        <v>5462.39305706094</v>
      </c>
      <c r="EF11" s="40" t="n">
        <f aca="false">DZ11*Premissas!$F$13+EA11*Premissas!$F$14</f>
        <v>5386.58766182155</v>
      </c>
      <c r="EG11" s="40" t="n">
        <f aca="false">EE11+EF11</f>
        <v>10848.9807188825</v>
      </c>
      <c r="EH11" s="40" t="n">
        <f aca="false">EG11*Premissas!$C$30</f>
        <v>650.938843132949</v>
      </c>
      <c r="EI11" s="40" t="n">
        <f aca="false">EG11*Premissas!$C$28+EC11*Premissas!$C$29</f>
        <v>422.73146690509</v>
      </c>
      <c r="EJ11" s="40" t="n">
        <f aca="false">DK11</f>
        <v>58.188949156125</v>
      </c>
      <c r="EK11" s="40" t="n">
        <f aca="false">DN11</f>
        <v>2195</v>
      </c>
      <c r="EL11" s="40" t="n">
        <f aca="false">DO11+DP11</f>
        <v>1897.521862938</v>
      </c>
      <c r="EM11" s="40" t="n">
        <f aca="false">EH11+EI11+EJ11+EK11+EL11</f>
        <v>5224.38112213216</v>
      </c>
      <c r="EN11" s="56" t="n">
        <f aca="false">EG11-EM11</f>
        <v>5624.59959675032</v>
      </c>
      <c r="EO11" s="56" t="n">
        <f aca="false">IF(CV11=1,Premissas!$C$8,N(EO10))+EN11</f>
        <v>14495.7704916058</v>
      </c>
      <c r="EP11" s="40" t="n">
        <f aca="false">DC11*Premissas!$F$13/12+DE11*Premissas!$F$14/12</f>
        <v>2067.00255641676</v>
      </c>
      <c r="EQ11" s="40" t="n">
        <f aca="false">N(EQ10)+EF11-EP11</f>
        <v>18247.4005671114</v>
      </c>
      <c r="ER11" s="1"/>
      <c r="ES11" s="1"/>
      <c r="ET11" s="1"/>
      <c r="EU11" s="1"/>
      <c r="EV11" s="1"/>
      <c r="EW11" s="1"/>
      <c r="EX11" s="1"/>
      <c r="EY11" s="1"/>
    </row>
    <row r="12" customFormat="false" ht="15" hidden="false" customHeight="false" outlineLevel="0" collapsed="false">
      <c r="A12" s="1"/>
      <c r="B12" s="51" t="n">
        <f aca="false">B11+1</f>
        <v>7</v>
      </c>
      <c r="C12" s="52" t="n">
        <f aca="false">EDATE(Premissas!$C$7,B12-1)</f>
        <v>46478</v>
      </c>
      <c r="D12" s="53" t="n">
        <f aca="false">Premissas!$C$19*(1+Premissas!$C$20)^(B12-1)</f>
        <v>4.776209186116</v>
      </c>
      <c r="E12" s="54" t="n">
        <f aca="false">IFERROR(D12/Premissas!$C$25,0)</f>
        <v>47.76209186116</v>
      </c>
      <c r="F12" s="53" t="n">
        <f aca="false">(N(H11)+N(J11))*Premissas!$C$21+AH12</f>
        <v>1.538698372848</v>
      </c>
      <c r="G12" s="55" t="n">
        <f aca="false">H12+I12+J12+K12</f>
        <v>25.058604427588</v>
      </c>
      <c r="H12" s="53" t="n">
        <f aca="false">N(H11)*(1-Premissas!$C$21)+AB12</f>
        <v>18.6945766219679</v>
      </c>
      <c r="I12" s="53" t="n">
        <f aca="false">SUM(INDEX($AF$6:$AF$29,MAX(1,B12-11)):INDEX($AF$6:$AF$29,B12))</f>
        <v>2.60523714148186</v>
      </c>
      <c r="J12" s="53" t="n">
        <f aca="false">N(J11)*(1-Premissas!$C$21)+AD12</f>
        <v>3.29904293328846</v>
      </c>
      <c r="K12" s="53" t="n">
        <f aca="false">SUM(INDEX($AG$6:$AG$29,MAX(1,B12-11)):INDEX($AG$6:$AG$29,B12))</f>
        <v>0.45974773084974</v>
      </c>
      <c r="L12" s="56" t="n">
        <f aca="false">H12*Premissas!$C$13+I12*Premissas!$F$13/12+J12*Premissas!$C$14+K12*Premissas!$F$14/12</f>
        <v>1532.94806659938</v>
      </c>
      <c r="M12" s="40" t="n">
        <f aca="false">L12*12</f>
        <v>18395.3767991926</v>
      </c>
      <c r="N12" s="40" t="n">
        <f aca="false">IFERROR(L12/G12,0)</f>
        <v>61.1745187577845</v>
      </c>
      <c r="O12" s="40" t="n">
        <f aca="false">L12*Premissas!$C$30</f>
        <v>91.976883995963</v>
      </c>
      <c r="P12" s="40" t="n">
        <f aca="false">L12*Premissas!$C$28+AI12*Premissas!$C$29</f>
        <v>64.6640901631737</v>
      </c>
      <c r="Q12" s="40" t="n">
        <f aca="false">G12*Premissas!$C$31</f>
        <v>12.529302213794</v>
      </c>
      <c r="R12" s="40" t="n">
        <f aca="false">L12-O12-P12-Q12</f>
        <v>1363.77779022645</v>
      </c>
      <c r="S12" s="57" t="n">
        <f aca="false">IFERROR(R12/L12,0)</f>
        <v>0.889643830695315</v>
      </c>
      <c r="T12" s="40" t="n">
        <f aca="false">SUMPRODUCT(Premissas!$C$42:$C$61,--(Premissas!$D$42:$D$61&lt;=B12))</f>
        <v>3395</v>
      </c>
      <c r="U12" s="40" t="n">
        <f aca="false">Premissas!$C$34*(1+Premissas!$C$35)^(B12-1)</f>
        <v>1791.0784447935</v>
      </c>
      <c r="V12" s="40" t="n">
        <f aca="false">D12*Premissas!$C$36*Premissas!$C$37</f>
        <v>28.657255116696</v>
      </c>
      <c r="W12" s="40" t="n">
        <f aca="false">O12+P12+Q12+T12+U12+V12</f>
        <v>5383.90597628313</v>
      </c>
      <c r="X12" s="56" t="n">
        <f aca="false">L12-W12</f>
        <v>-3850.95790968374</v>
      </c>
      <c r="Y12" s="40" t="n">
        <f aca="false">N(Y11)+X12</f>
        <v>-22588.1145544383</v>
      </c>
      <c r="Z12" s="40" t="n">
        <f aca="false">IFERROR((U12+V12)/D12,0)</f>
        <v>381</v>
      </c>
      <c r="AA12" s="54" t="n">
        <f aca="false">IFERROR(T12/(R12/G12),0)</f>
        <v>62.3811024357091</v>
      </c>
      <c r="AB12" s="58" t="n">
        <f aca="false">D12*(1-Premissas!$C$23)*(1-Premissas!$C$24)</f>
        <v>3.65380002737874</v>
      </c>
      <c r="AC12" s="58" t="n">
        <f aca="false">D12*(1-Premissas!$C$23)*Premissas!$C$24</f>
        <v>0.40597778081986</v>
      </c>
      <c r="AD12" s="58" t="n">
        <f aca="false">D12*Premissas!$C$23*(1-Premissas!$C$24)</f>
        <v>0.64478824012566</v>
      </c>
      <c r="AE12" s="58" t="n">
        <f aca="false">D12*Premissas!$C$23*Premissas!$C$24</f>
        <v>0.07164313779174</v>
      </c>
      <c r="AF12" s="58" t="n">
        <f aca="false">AC12+IF(B12&gt;12,INDEX($AC$6:$AC$29,B12-12)*Premissas!$C$22,0)</f>
        <v>0.40597778081986</v>
      </c>
      <c r="AG12" s="58" t="n">
        <f aca="false">AE12+IF(B12&gt;12,INDEX($AE$6:$AE$29,B12-12)*Premissas!$C$22,0)</f>
        <v>0.07164313779174</v>
      </c>
      <c r="AH12" s="58" t="n">
        <f aca="false">IF(B12&gt;12,(INDEX($AC$6:$AC$29,B12-12)+INDEX($AE$6:$AE$29,B12-12))*(1-Premissas!$C$22),0)</f>
        <v>0</v>
      </c>
      <c r="AI12" s="58" t="n">
        <f aca="false">H12+J12+AF12+AG12</f>
        <v>22.471240473868</v>
      </c>
      <c r="AJ12" s="59" t="str">
        <f aca="false">IF(X12&gt;0,B12,"")</f>
        <v/>
      </c>
      <c r="AK12" s="40" t="n">
        <f aca="false">H12*Premissas!$C$13+J12*Premissas!$C$14</f>
        <v>1372.401860248</v>
      </c>
      <c r="AL12" s="40" t="n">
        <f aca="false">AF12*Premissas!$F$13+AG12*Premissas!$F$14</f>
        <v>300.217703190775</v>
      </c>
      <c r="AM12" s="40" t="n">
        <f aca="false">AK12+AL12</f>
        <v>1672.61956343877</v>
      </c>
      <c r="AN12" s="40" t="n">
        <f aca="false">AM12*Premissas!$C$30</f>
        <v>100.357173806326</v>
      </c>
      <c r="AO12" s="40" t="n">
        <f aca="false">AM12*Premissas!$C$28+AI12*Premissas!$C$29</f>
        <v>69.5525925525524</v>
      </c>
      <c r="AP12" s="40" t="n">
        <f aca="false">Q12</f>
        <v>12.529302213794</v>
      </c>
      <c r="AQ12" s="40" t="n">
        <f aca="false">T12</f>
        <v>3395</v>
      </c>
      <c r="AR12" s="40" t="n">
        <f aca="false">U12+V12</f>
        <v>1819.7356999102</v>
      </c>
      <c r="AS12" s="40" t="n">
        <f aca="false">AN12+AO12+AP12+AQ12+AR12</f>
        <v>5397.17476848287</v>
      </c>
      <c r="AT12" s="56" t="n">
        <f aca="false">AM12-AS12</f>
        <v>-3724.5552050441</v>
      </c>
      <c r="AU12" s="56" t="n">
        <f aca="false">IF(B12=1,Premissas!$C$8,N(AU11))+AT12</f>
        <v>-21408.5936118103</v>
      </c>
      <c r="AV12" s="40" t="n">
        <f aca="false">I12*Premissas!$F$13/12+K12*Premissas!$F$14/12</f>
        <v>160.546206351384</v>
      </c>
      <c r="AW12" s="40" t="n">
        <f aca="false">N(AW11)+AL12-AV12</f>
        <v>1303.33805815244</v>
      </c>
      <c r="AX12" s="1"/>
      <c r="AY12" s="51" t="n">
        <f aca="false">AY11+1</f>
        <v>7</v>
      </c>
      <c r="AZ12" s="52" t="n">
        <f aca="false">EDATE(Premissas!$C$7,AY12-1)</f>
        <v>46478</v>
      </c>
      <c r="BA12" s="53" t="n">
        <f aca="false">Premissas!$D$19*(1+Premissas!$D$20)^(AY12-1)</f>
        <v>12.005842814792</v>
      </c>
      <c r="BB12" s="54" t="n">
        <f aca="false">IFERROR(BA12/Premissas!$D$25,0)</f>
        <v>60.02921407396</v>
      </c>
      <c r="BC12" s="53" t="n">
        <f aca="false">(N(BE11)+N(BG11))*Premissas!$D$21+CE12</f>
        <v>2.041702563264</v>
      </c>
      <c r="BD12" s="55" t="n">
        <f aca="false">BE12+BF12+BG12+BH12</f>
        <v>62.243456701928</v>
      </c>
      <c r="BE12" s="53" t="n">
        <f aca="false">N(BE11)*(1-Premissas!$D$21)+BY12</f>
        <v>36.2977672153872</v>
      </c>
      <c r="BF12" s="53" t="n">
        <f aca="false">SUM(INDEX($CC$6:$CC$29,MAX(1,AY12-11)):INDEX($CC$6:$CC$29,AY12))</f>
        <v>10.3848253110588</v>
      </c>
      <c r="BG12" s="53" t="n">
        <f aca="false">N(BG11)*(1-Premissas!$D$21)+CA12</f>
        <v>12.0992557384624</v>
      </c>
      <c r="BH12" s="53" t="n">
        <f aca="false">SUM(INDEX($CD$6:$CD$29,MAX(1,AY12-11)):INDEX($CD$6:$CD$29,AY12))</f>
        <v>3.4616084370196</v>
      </c>
      <c r="BI12" s="56" t="n">
        <f aca="false">BE12*Premissas!$C$13+BF12*Premissas!$F$13/12+BG12*Premissas!$C$14+BH12*Premissas!$F$14/12</f>
        <v>3919.67478415674</v>
      </c>
      <c r="BJ12" s="40" t="n">
        <f aca="false">BI12*12</f>
        <v>47036.0974098809</v>
      </c>
      <c r="BK12" s="40" t="n">
        <f aca="false">IFERROR(BI12/BD12,0)</f>
        <v>62.9732825239336</v>
      </c>
      <c r="BL12" s="40" t="n">
        <f aca="false">BI12*Premissas!$C$30</f>
        <v>235.180487049404</v>
      </c>
      <c r="BM12" s="40" t="n">
        <f aca="false">BI12*Premissas!$C$28+CF12*Premissas!$C$29</f>
        <v>162.079731288722</v>
      </c>
      <c r="BN12" s="40" t="n">
        <f aca="false">BD12*Premissas!$C$31</f>
        <v>31.121728350964</v>
      </c>
      <c r="BO12" s="40" t="n">
        <f aca="false">BI12-BL12-BM12-BN12</f>
        <v>3491.29283746765</v>
      </c>
      <c r="BP12" s="57" t="n">
        <f aca="false">IFERROR(BO12/BI12,0)</f>
        <v>0.890709824085253</v>
      </c>
      <c r="BQ12" s="40" t="n">
        <f aca="false">SUMPRODUCT(Premissas!$C$42:$C$61,--(Premissas!$D$42:$D$61&lt;=AY12))</f>
        <v>3395</v>
      </c>
      <c r="BR12" s="40" t="n">
        <f aca="false">Premissas!$C$34*(1+Premissas!$C$35)^(AY12-1)</f>
        <v>1791.0784447935</v>
      </c>
      <c r="BS12" s="40" t="n">
        <f aca="false">BA12*Premissas!$C$36*Premissas!$C$37</f>
        <v>72.035056888752</v>
      </c>
      <c r="BT12" s="40" t="n">
        <f aca="false">BL12+BM12+BN12+BQ12+BR12+BS12</f>
        <v>5686.49544837134</v>
      </c>
      <c r="BU12" s="56" t="n">
        <f aca="false">BI12-BT12</f>
        <v>-1766.8206642146</v>
      </c>
      <c r="BV12" s="40" t="n">
        <f aca="false">N(BV11)+BU12</f>
        <v>-15008.4664901332</v>
      </c>
      <c r="BW12" s="40" t="n">
        <f aca="false">IFERROR((BR12+BS12)/BA12,0)</f>
        <v>155.18389924169</v>
      </c>
      <c r="BX12" s="54" t="n">
        <f aca="false">IFERROR(BQ12/(BO12/BD12),0)</f>
        <v>60.5267290200499</v>
      </c>
      <c r="BY12" s="58" t="n">
        <f aca="false">BA12*(1-Premissas!$D$23)*(1-Premissas!$D$24)</f>
        <v>7.2035056888752</v>
      </c>
      <c r="BZ12" s="58" t="n">
        <f aca="false">BA12*(1-Premissas!$D$23)*Premissas!$D$24</f>
        <v>1.8008764222188</v>
      </c>
      <c r="CA12" s="58" t="n">
        <f aca="false">BA12*Premissas!$D$23*(1-Premissas!$D$24)</f>
        <v>2.4011685629584</v>
      </c>
      <c r="CB12" s="58" t="n">
        <f aca="false">BA12*Premissas!$D$23*Premissas!$D$24</f>
        <v>0.6002921407396</v>
      </c>
      <c r="CC12" s="58" t="n">
        <f aca="false">BZ12+IF(AY12&gt;12,INDEX($BZ$6:$BZ$29,AY12-12)*Premissas!$D$22,0)</f>
        <v>1.8008764222188</v>
      </c>
      <c r="CD12" s="58" t="n">
        <f aca="false">CB12+IF(AY12&gt;12,INDEX($CB$6:$CB$29,AY12-12)*Premissas!$D$22,0)</f>
        <v>0.6002921407396</v>
      </c>
      <c r="CE12" s="58" t="n">
        <f aca="false">IF(AY12&gt;12,(INDEX($BZ$6:$BZ$29,AY12-12)+INDEX($CB$6:$CB$29,AY12-12))*(1-Premissas!$D$22),0)</f>
        <v>0</v>
      </c>
      <c r="CF12" s="58" t="n">
        <f aca="false">BE12+BG12+CC12+CD12</f>
        <v>50.798191516808</v>
      </c>
      <c r="CG12" s="59" t="str">
        <f aca="false">IF(BU12&gt;0,AY12,"")</f>
        <v/>
      </c>
      <c r="CH12" s="40" t="n">
        <f aca="false">BE12*Premissas!$C$13+BG12*Premissas!$C$14</f>
        <v>3165.16530118176</v>
      </c>
      <c r="CI12" s="40" t="n">
        <f aca="false">CC12*Premissas!$F$13+CD12*Premissas!$F$14</f>
        <v>1570.11211747568</v>
      </c>
      <c r="CJ12" s="40" t="n">
        <f aca="false">CH12+CI12</f>
        <v>4735.27741865745</v>
      </c>
      <c r="CK12" s="40" t="n">
        <f aca="false">CJ12*Premissas!$C$30</f>
        <v>284.116645119447</v>
      </c>
      <c r="CL12" s="40" t="n">
        <f aca="false">CJ12*Premissas!$C$28+CF12*Premissas!$C$29</f>
        <v>190.625823496247</v>
      </c>
      <c r="CM12" s="40" t="n">
        <f aca="false">BN12</f>
        <v>31.121728350964</v>
      </c>
      <c r="CN12" s="40" t="n">
        <f aca="false">BQ12</f>
        <v>3395</v>
      </c>
      <c r="CO12" s="40" t="n">
        <f aca="false">BR12+BS12</f>
        <v>1863.11350168225</v>
      </c>
      <c r="CP12" s="40" t="n">
        <f aca="false">CK12+CL12+CM12+CN12+CO12</f>
        <v>5763.97769864891</v>
      </c>
      <c r="CQ12" s="56" t="n">
        <f aca="false">CJ12-CP12</f>
        <v>-1028.70027999146</v>
      </c>
      <c r="CR12" s="56" t="n">
        <f aca="false">IF(AY12=1,Premissas!$C$8,N(CR11))+CQ12</f>
        <v>-9361.72133129378</v>
      </c>
      <c r="CS12" s="40" t="n">
        <f aca="false">BF12*Premissas!$F$13/12+BH12*Premissas!$F$14/12</f>
        <v>754.509482974977</v>
      </c>
      <c r="CT12" s="40" t="n">
        <f aca="false">N(CT11)+CI12-CS12</f>
        <v>6239.49741308222</v>
      </c>
      <c r="CU12" s="1"/>
      <c r="CV12" s="51" t="n">
        <f aca="false">CV11+1</f>
        <v>7</v>
      </c>
      <c r="CW12" s="52" t="n">
        <f aca="false">EDATE(Premissas!$C$7,CV12-1)</f>
        <v>46478</v>
      </c>
      <c r="CX12" s="53" t="n">
        <f aca="false">Premissas!$E$19*(1+Premissas!$E$20)^(CV12-1)</f>
        <v>29.60734027776</v>
      </c>
      <c r="CY12" s="54" t="n">
        <f aca="false">IFERROR(CX12/Premissas!$E$25,0)</f>
        <v>98.6911342592001</v>
      </c>
      <c r="CZ12" s="53" t="n">
        <f aca="false">(N(DB11)+N(DD11))*Premissas!$E$21+EB12</f>
        <v>2.3957864285355</v>
      </c>
      <c r="DA12" s="55" t="n">
        <f aca="false">DB12+DC12+DD12+DE12</f>
        <v>143.589452161475</v>
      </c>
      <c r="DB12" s="53" t="n">
        <f aca="false">N(DB11)*(1-Premissas!$E$21)+DV12</f>
        <v>63.8227845994352</v>
      </c>
      <c r="DC12" s="53" t="n">
        <f aca="false">SUM(INDEX($DZ$6:$DZ$29,MAX(1,CV12-11)):INDEX($DZ$6:$DZ$29,CV12))</f>
        <v>29.5103593055232</v>
      </c>
      <c r="DD12" s="53" t="n">
        <f aca="false">N(DD11)*(1-Premissas!$E$21)+DX12</f>
        <v>34.3661147843113</v>
      </c>
      <c r="DE12" s="53" t="n">
        <f aca="false">SUM(INDEX($EA$6:$EA$29,MAX(1,CV12-11)):INDEX($EA$6:$EA$29,CV12))</f>
        <v>15.8901934722048</v>
      </c>
      <c r="DF12" s="56" t="n">
        <f aca="false">DB12*Premissas!$C$13+DC12*Premissas!$F$13/12+DD12*Premissas!$C$14+DE12*Premissas!$F$14/12</f>
        <v>9285.87145603503</v>
      </c>
      <c r="DG12" s="40" t="n">
        <f aca="false">DF12*12</f>
        <v>111430.45747242</v>
      </c>
      <c r="DH12" s="40" t="n">
        <f aca="false">IFERROR(DF12/DA12,0)</f>
        <v>64.6695931787005</v>
      </c>
      <c r="DI12" s="40" t="n">
        <f aca="false">DF12*Premissas!$C$30</f>
        <v>557.152287362102</v>
      </c>
      <c r="DJ12" s="40" t="n">
        <f aca="false">DF12*Premissas!$C$28+EC12*Premissas!$C$29</f>
        <v>377.470340680093</v>
      </c>
      <c r="DK12" s="40" t="n">
        <f aca="false">DA12*Premissas!$C$31</f>
        <v>71.7947260807373</v>
      </c>
      <c r="DL12" s="40" t="n">
        <f aca="false">DF12-DI12-DJ12-DK12</f>
        <v>8279.4541019121</v>
      </c>
      <c r="DM12" s="57" t="n">
        <f aca="false">IFERROR(DL12/DF12,0)</f>
        <v>0.891618427103162</v>
      </c>
      <c r="DN12" s="40" t="n">
        <f aca="false">SUMPRODUCT(Premissas!$C$42:$C$61,--(Premissas!$D$42:$D$61&lt;=CV12))</f>
        <v>3395</v>
      </c>
      <c r="DO12" s="40" t="n">
        <f aca="false">Premissas!$C$34*(1+Premissas!$C$35)^(CV12-1)</f>
        <v>1791.0784447935</v>
      </c>
      <c r="DP12" s="40" t="n">
        <f aca="false">CX12*Premissas!$C$36*Premissas!$C$37</f>
        <v>177.64404166656</v>
      </c>
      <c r="DQ12" s="40" t="n">
        <f aca="false">DI12+DJ12+DK12+DN12+DO12+DP12</f>
        <v>6370.13984058299</v>
      </c>
      <c r="DR12" s="56" t="n">
        <f aca="false">DF12-DQ12</f>
        <v>2915.73161545204</v>
      </c>
      <c r="DS12" s="40" t="n">
        <f aca="false">N(DS11)+DR12</f>
        <v>897.604593822053</v>
      </c>
      <c r="DT12" s="40" t="n">
        <f aca="false">IFERROR((DO12+DP12)/CX12,0)</f>
        <v>66.4944053734842</v>
      </c>
      <c r="DU12" s="54" t="n">
        <f aca="false">IFERROR(DN12/(DL12/DA12),0)</f>
        <v>58.8790256081767</v>
      </c>
      <c r="DV12" s="58" t="n">
        <f aca="false">CX12*(1-Premissas!$E$23)*(1-Premissas!$E$24)</f>
        <v>13.4713398263808</v>
      </c>
      <c r="DW12" s="58" t="n">
        <f aca="false">CX12*(1-Premissas!$E$23)*Premissas!$E$24</f>
        <v>5.7734313541632</v>
      </c>
      <c r="DX12" s="58" t="n">
        <f aca="false">CX12*Premissas!$E$23*(1-Premissas!$E$24)</f>
        <v>7.2537983680512</v>
      </c>
      <c r="DY12" s="58" t="n">
        <f aca="false">CX12*Premissas!$E$23*Premissas!$E$24</f>
        <v>3.1087707291648</v>
      </c>
      <c r="DZ12" s="58" t="n">
        <f aca="false">DW12+IF(CV12&gt;12,INDEX($DW$6:$DW$29,CV12-12)*Premissas!$E$22,0)</f>
        <v>5.7734313541632</v>
      </c>
      <c r="EA12" s="58" t="n">
        <f aca="false">DY12+IF(CV12&gt;12,INDEX($DY$6:$DY$29,CV12-12)*Premissas!$E$22,0)</f>
        <v>3.1087707291648</v>
      </c>
      <c r="EB12" s="58" t="n">
        <f aca="false">IF(CV12&gt;12,(INDEX($DW$6:$DW$29,CV12-12)+INDEX($DY$6:$DY$29,CV12-12))*(1-Premissas!$E$22),0)</f>
        <v>0</v>
      </c>
      <c r="EC12" s="58" t="n">
        <f aca="false">DB12+DD12+DZ12+EA12</f>
        <v>107.071101467075</v>
      </c>
      <c r="ED12" s="59" t="n">
        <f aca="false">IF(DR12&gt;0,CV12,"")</f>
        <v>7</v>
      </c>
      <c r="EE12" s="40" t="n">
        <f aca="false">DB12*Premissas!$C$13+DD12*Premissas!$C$14</f>
        <v>6716.12071784826</v>
      </c>
      <c r="EF12" s="40" t="n">
        <f aca="false">DZ12*Premissas!$F$13+EA12*Premissas!$F$14</f>
        <v>6032.97818124013</v>
      </c>
      <c r="EG12" s="40" t="n">
        <f aca="false">EE12+EF12</f>
        <v>12749.0988990884</v>
      </c>
      <c r="EH12" s="40" t="n">
        <f aca="false">EG12*Premissas!$C$30</f>
        <v>764.945933945304</v>
      </c>
      <c r="EI12" s="40" t="n">
        <f aca="false">EG12*Premissas!$C$28+EC12*Premissas!$C$29</f>
        <v>498.68330118696</v>
      </c>
      <c r="EJ12" s="40" t="n">
        <f aca="false">DK12</f>
        <v>71.7947260807373</v>
      </c>
      <c r="EK12" s="40" t="n">
        <f aca="false">DN12</f>
        <v>3395</v>
      </c>
      <c r="EL12" s="40" t="n">
        <f aca="false">DO12+DP12</f>
        <v>1968.72248646006</v>
      </c>
      <c r="EM12" s="40" t="n">
        <f aca="false">EH12+EI12+EJ12+EK12+EL12</f>
        <v>6699.14644767306</v>
      </c>
      <c r="EN12" s="56" t="n">
        <f aca="false">EG12-EM12</f>
        <v>6049.95245141533</v>
      </c>
      <c r="EO12" s="56" t="n">
        <f aca="false">IF(CV12=1,Premissas!$C$8,N(EO11))+EN12</f>
        <v>20545.7229430211</v>
      </c>
      <c r="EP12" s="40" t="n">
        <f aca="false">DC12*Premissas!$F$13/12+DE12*Premissas!$F$14/12</f>
        <v>2569.75073818677</v>
      </c>
      <c r="EQ12" s="40" t="n">
        <f aca="false">N(EQ11)+EF12-EP12</f>
        <v>21710.6280101647</v>
      </c>
      <c r="ER12" s="1"/>
      <c r="ES12" s="1"/>
      <c r="ET12" s="1"/>
      <c r="EU12" s="1"/>
      <c r="EV12" s="1"/>
      <c r="EW12" s="1"/>
      <c r="EX12" s="1"/>
      <c r="EY12" s="1"/>
    </row>
    <row r="13" customFormat="false" ht="15" hidden="false" customHeight="false" outlineLevel="0" collapsed="false">
      <c r="A13" s="1"/>
      <c r="B13" s="51" t="n">
        <f aca="false">B12+1</f>
        <v>8</v>
      </c>
      <c r="C13" s="52" t="n">
        <f aca="false">EDATE(Premissas!$C$7,B13-1)</f>
        <v>46508</v>
      </c>
      <c r="D13" s="53" t="n">
        <f aca="false">Premissas!$C$19*(1+Premissas!$C$20)^(B13-1)</f>
        <v>4.91949546169948</v>
      </c>
      <c r="E13" s="54" t="n">
        <f aca="false">IFERROR(D13/Premissas!$C$25,0)</f>
        <v>49.1949546169948</v>
      </c>
      <c r="F13" s="53" t="n">
        <f aca="false">(N(H12)+N(J12))*Premissas!$C$21+AH13</f>
        <v>1.75948956442051</v>
      </c>
      <c r="G13" s="55" t="n">
        <f aca="false">H13+I13+J13+K13</f>
        <v>28.218610324867</v>
      </c>
      <c r="H13" s="53" t="n">
        <f aca="false">N(H12)*(1-Premissas!$C$21)+AB13</f>
        <v>20.9624245204106</v>
      </c>
      <c r="I13" s="53" t="n">
        <f aca="false">SUM(INDEX($AF$6:$AF$29,MAX(1,B13-11)):INDEX($AF$6:$AF$29,B13))</f>
        <v>3.02339425572632</v>
      </c>
      <c r="J13" s="53" t="n">
        <f aca="false">N(J12)*(1-Premissas!$C$21)+AD13</f>
        <v>3.69925138595481</v>
      </c>
      <c r="K13" s="53" t="n">
        <f aca="false">SUM(INDEX($AG$6:$AG$29,MAX(1,B13-11)):INDEX($AG$6:$AG$29,B13))</f>
        <v>0.533540162775232</v>
      </c>
      <c r="L13" s="56" t="n">
        <f aca="false">H13*Premissas!$C$13+I13*Premissas!$F$13/12+J13*Premissas!$C$14+K13*Premissas!$F$14/12</f>
        <v>1725.20346909913</v>
      </c>
      <c r="M13" s="40" t="n">
        <f aca="false">L13*12</f>
        <v>20702.4416291895</v>
      </c>
      <c r="N13" s="40" t="n">
        <f aca="false">IFERROR(L13/G13,0)</f>
        <v>61.1370811403435</v>
      </c>
      <c r="O13" s="40" t="n">
        <f aca="false">L13*Premissas!$C$30</f>
        <v>103.512208145948</v>
      </c>
      <c r="P13" s="40" t="n">
        <f aca="false">L13*Premissas!$C$28+AI13*Premissas!$C$29</f>
        <v>72.7073978902118</v>
      </c>
      <c r="Q13" s="40" t="n">
        <f aca="false">G13*Premissas!$C$31</f>
        <v>14.1093051624335</v>
      </c>
      <c r="R13" s="40" t="n">
        <f aca="false">L13-O13-P13-Q13</f>
        <v>1534.87455790054</v>
      </c>
      <c r="S13" s="57" t="n">
        <f aca="false">IFERROR(R13/L13,0)</f>
        <v>0.889677412196499</v>
      </c>
      <c r="T13" s="40" t="n">
        <f aca="false">SUMPRODUCT(Premissas!$C$42:$C$61,--(Premissas!$D$42:$D$61&lt;=B13))</f>
        <v>3395</v>
      </c>
      <c r="U13" s="40" t="n">
        <f aca="false">Premissas!$C$34*(1+Premissas!$C$35)^(B13-1)</f>
        <v>1844.81079813731</v>
      </c>
      <c r="V13" s="40" t="n">
        <f aca="false">D13*Premissas!$C$36*Premissas!$C$37</f>
        <v>29.5169727701969</v>
      </c>
      <c r="W13" s="40" t="n">
        <f aca="false">O13+P13+Q13+T13+U13+V13</f>
        <v>5459.6566821061</v>
      </c>
      <c r="X13" s="56" t="n">
        <f aca="false">L13-W13</f>
        <v>-3734.45321300697</v>
      </c>
      <c r="Y13" s="40" t="n">
        <f aca="false">N(Y12)+X13</f>
        <v>-26322.5677674453</v>
      </c>
      <c r="Z13" s="40" t="n">
        <f aca="false">IFERROR((U13+V13)/D13,0)</f>
        <v>381</v>
      </c>
      <c r="AA13" s="54" t="n">
        <f aca="false">IFERROR(T13/(R13/G13),0)</f>
        <v>62.4169457756636</v>
      </c>
      <c r="AB13" s="58" t="n">
        <f aca="false">D13*(1-Premissas!$C$23)*(1-Premissas!$C$24)</f>
        <v>3.7634140282001</v>
      </c>
      <c r="AC13" s="58" t="n">
        <f aca="false">D13*(1-Premissas!$C$23)*Premissas!$C$24</f>
        <v>0.418157114244456</v>
      </c>
      <c r="AD13" s="58" t="n">
        <f aca="false">D13*Premissas!$C$23*(1-Premissas!$C$24)</f>
        <v>0.66413188732943</v>
      </c>
      <c r="AE13" s="58" t="n">
        <f aca="false">D13*Premissas!$C$23*Premissas!$C$24</f>
        <v>0.0737924319254922</v>
      </c>
      <c r="AF13" s="58" t="n">
        <f aca="false">AC13+IF(B13&gt;12,INDEX($AC$6:$AC$29,B13-12)*Premissas!$C$22,0)</f>
        <v>0.418157114244456</v>
      </c>
      <c r="AG13" s="58" t="n">
        <f aca="false">AE13+IF(B13&gt;12,INDEX($AE$6:$AE$29,B13-12)*Premissas!$C$22,0)</f>
        <v>0.0737924319254922</v>
      </c>
      <c r="AH13" s="58" t="n">
        <f aca="false">IF(B13&gt;12,(INDEX($AC$6:$AC$29,B13-12)+INDEX($AE$6:$AE$29,B13-12))*(1-Premissas!$C$22),0)</f>
        <v>0</v>
      </c>
      <c r="AI13" s="58" t="n">
        <f aca="false">H13+J13+AF13+AG13</f>
        <v>25.1536254525354</v>
      </c>
      <c r="AJ13" s="59" t="str">
        <f aca="false">IF(X13&gt;0,B13,"")</f>
        <v/>
      </c>
      <c r="AK13" s="40" t="n">
        <f aca="false">H13*Premissas!$C$13+J13*Premissas!$C$14</f>
        <v>1538.8885765572</v>
      </c>
      <c r="AL13" s="40" t="n">
        <f aca="false">AF13*Premissas!$F$13+AG13*Premissas!$F$14</f>
        <v>309.224234286498</v>
      </c>
      <c r="AM13" s="40" t="n">
        <f aca="false">AK13+AL13</f>
        <v>1848.1128108437</v>
      </c>
      <c r="AN13" s="40" t="n">
        <f aca="false">AM13*Premissas!$C$30</f>
        <v>110.886768650622</v>
      </c>
      <c r="AO13" s="40" t="n">
        <f aca="false">AM13*Premissas!$C$28+AI13*Premissas!$C$29</f>
        <v>77.0092248512719</v>
      </c>
      <c r="AP13" s="40" t="n">
        <f aca="false">Q13</f>
        <v>14.1093051624335</v>
      </c>
      <c r="AQ13" s="40" t="n">
        <f aca="false">T13</f>
        <v>3395</v>
      </c>
      <c r="AR13" s="40" t="n">
        <f aca="false">U13+V13</f>
        <v>1874.3277709075</v>
      </c>
      <c r="AS13" s="40" t="n">
        <f aca="false">AN13+AO13+AP13+AQ13+AR13</f>
        <v>5471.33306957183</v>
      </c>
      <c r="AT13" s="56" t="n">
        <f aca="false">AM13-AS13</f>
        <v>-3623.22025872813</v>
      </c>
      <c r="AU13" s="56" t="n">
        <f aca="false">IF(B13=1,Premissas!$C$8,N(AU12))+AT13</f>
        <v>-25031.8138705385</v>
      </c>
      <c r="AV13" s="40" t="n">
        <f aca="false">I13*Premissas!$F$13/12+K13*Premissas!$F$14/12</f>
        <v>186.314892541925</v>
      </c>
      <c r="AW13" s="40" t="n">
        <f aca="false">N(AW12)+AL13-AV13</f>
        <v>1426.24739989701</v>
      </c>
      <c r="AX13" s="1"/>
      <c r="AY13" s="51" t="n">
        <f aca="false">AY12+1</f>
        <v>8</v>
      </c>
      <c r="AZ13" s="52" t="n">
        <f aca="false">EDATE(Premissas!$C$7,AY13-1)</f>
        <v>46508</v>
      </c>
      <c r="BA13" s="53" t="n">
        <f aca="false">Premissas!$D$19*(1+Premissas!$D$20)^(AY13-1)</f>
        <v>12.8462518118274</v>
      </c>
      <c r="BB13" s="54" t="n">
        <f aca="false">IFERROR(BA13/Premissas!$D$25,0)</f>
        <v>64.2312590591372</v>
      </c>
      <c r="BC13" s="53" t="n">
        <f aca="false">(N(BE12)+N(BG12))*Premissas!$D$21+CE13</f>
        <v>2.41985114769248</v>
      </c>
      <c r="BD13" s="55" t="n">
        <f aca="false">BE13+BF13+BG13+BH13</f>
        <v>72.669857366063</v>
      </c>
      <c r="BE13" s="53" t="n">
        <f aca="false">N(BE12)*(1-Premissas!$D$21)+BY13</f>
        <v>42.1906299417143</v>
      </c>
      <c r="BF13" s="53" t="n">
        <f aca="false">SUM(INDEX($CC$6:$CC$29,MAX(1,AY13-11)):INDEX($CC$6:$CC$29,AY13))</f>
        <v>12.3117630828329</v>
      </c>
      <c r="BG13" s="53" t="n">
        <f aca="false">N(BG12)*(1-Premissas!$D$21)+CA13</f>
        <v>14.0635433139048</v>
      </c>
      <c r="BH13" s="53" t="n">
        <f aca="false">SUM(INDEX($CD$6:$CD$29,MAX(1,AY13-11)):INDEX($CD$6:$CD$29,AY13))</f>
        <v>4.10392102761097</v>
      </c>
      <c r="BI13" s="56" t="n">
        <f aca="false">BE13*Premissas!$C$13+BF13*Premissas!$F$13/12+BG13*Premissas!$C$14+BH13*Premissas!$F$14/12</f>
        <v>4573.53407770071</v>
      </c>
      <c r="BJ13" s="40" t="n">
        <f aca="false">BI13*12</f>
        <v>54882.4089324086</v>
      </c>
      <c r="BK13" s="40" t="n">
        <f aca="false">IFERROR(BI13/BD13,0)</f>
        <v>62.9357789249847</v>
      </c>
      <c r="BL13" s="40" t="n">
        <f aca="false">BI13*Premissas!$C$30</f>
        <v>274.412044662043</v>
      </c>
      <c r="BM13" s="40" t="n">
        <f aca="false">BI13*Premissas!$C$28+CF13*Premissas!$C$29</f>
        <v>188.897170292337</v>
      </c>
      <c r="BN13" s="40" t="n">
        <f aca="false">BD13*Premissas!$C$31</f>
        <v>36.3349286830315</v>
      </c>
      <c r="BO13" s="40" t="n">
        <f aca="false">BI13-BL13-BM13-BN13</f>
        <v>4073.8899340633</v>
      </c>
      <c r="BP13" s="57" t="n">
        <f aca="false">IFERROR(BO13/BI13,0)</f>
        <v>0.890753160433736</v>
      </c>
      <c r="BQ13" s="40" t="n">
        <f aca="false">SUMPRODUCT(Premissas!$C$42:$C$61,--(Premissas!$D$42:$D$61&lt;=AY13))</f>
        <v>3395</v>
      </c>
      <c r="BR13" s="40" t="n">
        <f aca="false">Premissas!$C$34*(1+Premissas!$C$35)^(AY13-1)</f>
        <v>1844.81079813731</v>
      </c>
      <c r="BS13" s="40" t="n">
        <f aca="false">BA13*Premissas!$C$36*Premissas!$C$37</f>
        <v>77.0775108709647</v>
      </c>
      <c r="BT13" s="40" t="n">
        <f aca="false">BL13+BM13+BN13+BQ13+BR13+BS13</f>
        <v>5816.53245264568</v>
      </c>
      <c r="BU13" s="56" t="n">
        <f aca="false">BI13-BT13</f>
        <v>-1242.99837494497</v>
      </c>
      <c r="BV13" s="40" t="n">
        <f aca="false">N(BV12)+BU13</f>
        <v>-16251.4648650782</v>
      </c>
      <c r="BW13" s="40" t="n">
        <f aca="false">IFERROR((BR13+BS13)/BA13,0)</f>
        <v>149.606931045739</v>
      </c>
      <c r="BX13" s="54" t="n">
        <f aca="false">IFERROR(BQ13/(BO13/BD13),0)</f>
        <v>60.5598505975617</v>
      </c>
      <c r="BY13" s="58" t="n">
        <f aca="false">BA13*(1-Premissas!$D$23)*(1-Premissas!$D$24)</f>
        <v>7.70775108709647</v>
      </c>
      <c r="BZ13" s="58" t="n">
        <f aca="false">BA13*(1-Premissas!$D$23)*Premissas!$D$24</f>
        <v>1.92693777177412</v>
      </c>
      <c r="CA13" s="58" t="n">
        <f aca="false">BA13*Premissas!$D$23*(1-Premissas!$D$24)</f>
        <v>2.56925036236549</v>
      </c>
      <c r="CB13" s="58" t="n">
        <f aca="false">BA13*Premissas!$D$23*Premissas!$D$24</f>
        <v>0.642312590591372</v>
      </c>
      <c r="CC13" s="58" t="n">
        <f aca="false">BZ13+IF(AY13&gt;12,INDEX($BZ$6:$BZ$29,AY13-12)*Premissas!$D$22,0)</f>
        <v>1.92693777177412</v>
      </c>
      <c r="CD13" s="58" t="n">
        <f aca="false">CB13+IF(AY13&gt;12,INDEX($CB$6:$CB$29,AY13-12)*Premissas!$D$22,0)</f>
        <v>0.642312590591372</v>
      </c>
      <c r="CE13" s="58" t="n">
        <f aca="false">IF(AY13&gt;12,(INDEX($BZ$6:$BZ$29,AY13-12)+INDEX($CB$6:$CB$29,AY13-12))*(1-Premissas!$D$22),0)</f>
        <v>0</v>
      </c>
      <c r="CF13" s="58" t="n">
        <f aca="false">BE13+BG13+CC13+CD13</f>
        <v>58.8234236179846</v>
      </c>
      <c r="CG13" s="59" t="str">
        <f aca="false">IF(BU13&gt;0,AY13,"")</f>
        <v/>
      </c>
      <c r="CH13" s="40" t="n">
        <f aca="false">BE13*Premissas!$C$13+BG13*Premissas!$C$14</f>
        <v>3679.02293091749</v>
      </c>
      <c r="CI13" s="40" t="n">
        <f aca="false">CC13*Premissas!$F$13+CD13*Premissas!$F$14</f>
        <v>1680.01996569898</v>
      </c>
      <c r="CJ13" s="40" t="n">
        <f aca="false">CH13+CI13</f>
        <v>5359.04289661647</v>
      </c>
      <c r="CK13" s="40" t="n">
        <f aca="false">CJ13*Premissas!$C$30</f>
        <v>321.542573796988</v>
      </c>
      <c r="CL13" s="40" t="n">
        <f aca="false">CJ13*Premissas!$C$28+CF13*Premissas!$C$29</f>
        <v>216.389978954389</v>
      </c>
      <c r="CM13" s="40" t="n">
        <f aca="false">BN13</f>
        <v>36.3349286830315</v>
      </c>
      <c r="CN13" s="40" t="n">
        <f aca="false">BQ13</f>
        <v>3395</v>
      </c>
      <c r="CO13" s="40" t="n">
        <f aca="false">BR13+BS13</f>
        <v>1921.88830900827</v>
      </c>
      <c r="CP13" s="40" t="n">
        <f aca="false">CK13+CL13+CM13+CN13+CO13</f>
        <v>5891.15579044268</v>
      </c>
      <c r="CQ13" s="56" t="n">
        <f aca="false">CJ13-CP13</f>
        <v>-532.11289382621</v>
      </c>
      <c r="CR13" s="56" t="n">
        <f aca="false">IF(AY13=1,Premissas!$C$8,N(CR12))+CQ13</f>
        <v>-9893.83422511999</v>
      </c>
      <c r="CS13" s="40" t="n">
        <f aca="false">BF13*Premissas!$F$13/12+BH13*Premissas!$F$14/12</f>
        <v>894.511146783226</v>
      </c>
      <c r="CT13" s="40" t="n">
        <f aca="false">N(CT12)+CI13-CS13</f>
        <v>7025.00623199798</v>
      </c>
      <c r="CU13" s="1"/>
      <c r="CV13" s="51" t="n">
        <f aca="false">CV12+1</f>
        <v>8</v>
      </c>
      <c r="CW13" s="52" t="n">
        <f aca="false">EDATE(Premissas!$C$7,CV13-1)</f>
        <v>46508</v>
      </c>
      <c r="CX13" s="53" t="n">
        <f aca="false">Premissas!$E$19*(1+Premissas!$E$20)^(CV13-1)</f>
        <v>33.1602211110912</v>
      </c>
      <c r="CY13" s="54" t="n">
        <f aca="false">IFERROR(CX13/Premissas!$E$25,0)</f>
        <v>110.534070370304</v>
      </c>
      <c r="CZ13" s="53" t="n">
        <f aca="false">(N(DB12)+N(DD12))*Premissas!$E$21+EB13</f>
        <v>2.9456669815124</v>
      </c>
      <c r="DA13" s="55" t="n">
        <f aca="false">DB13+DC13+DD13+DE13</f>
        <v>173.804006291053</v>
      </c>
      <c r="DB13" s="53" t="n">
        <f aca="false">N(DB12)*(1-Premissas!$E$21)+DV13</f>
        <v>76.9960016669987</v>
      </c>
      <c r="DC13" s="53" t="n">
        <f aca="false">SUM(INDEX($DZ$6:$DZ$29,MAX(1,CV13-11)):INDEX($DZ$6:$DZ$29,CV13))</f>
        <v>35.976602422186</v>
      </c>
      <c r="DD13" s="53" t="n">
        <f aca="false">N(DD12)*(1-Premissas!$E$21)+DX13</f>
        <v>41.4593855129993</v>
      </c>
      <c r="DE13" s="53" t="n">
        <f aca="false">SUM(INDEX($EA$6:$EA$29,MAX(1,CV13-11)):INDEX($EA$6:$EA$29,CV13))</f>
        <v>19.3720166888694</v>
      </c>
      <c r="DF13" s="56" t="n">
        <f aca="false">DB13*Premissas!$C$13+DC13*Premissas!$F$13/12+DD13*Premissas!$C$14+DE13*Premissas!$F$14/12</f>
        <v>11235.177184881</v>
      </c>
      <c r="DG13" s="40" t="n">
        <f aca="false">DF13*12</f>
        <v>134822.126218573</v>
      </c>
      <c r="DH13" s="40" t="n">
        <f aca="false">IFERROR(DF13/DA13,0)</f>
        <v>64.6427975087441</v>
      </c>
      <c r="DI13" s="40" t="n">
        <f aca="false">DF13*Premissas!$C$30</f>
        <v>674.110631092862</v>
      </c>
      <c r="DJ13" s="40" t="n">
        <f aca="false">DF13*Premissas!$C$28+EC13*Premissas!$C$29</f>
        <v>456.148893692366</v>
      </c>
      <c r="DK13" s="40" t="n">
        <f aca="false">DA13*Premissas!$C$31</f>
        <v>86.9020031455267</v>
      </c>
      <c r="DL13" s="40" t="n">
        <f aca="false">DF13-DI13-DJ13-DK13</f>
        <v>10018.0156569503</v>
      </c>
      <c r="DM13" s="57" t="n">
        <f aca="false">IFERROR(DL13/DF13,0)</f>
        <v>0.891665123931586</v>
      </c>
      <c r="DN13" s="40" t="n">
        <f aca="false">SUMPRODUCT(Premissas!$C$42:$C$61,--(Premissas!$D$42:$D$61&lt;=CV13))</f>
        <v>3395</v>
      </c>
      <c r="DO13" s="40" t="n">
        <f aca="false">Premissas!$C$34*(1+Premissas!$C$35)^(CV13-1)</f>
        <v>1844.81079813731</v>
      </c>
      <c r="DP13" s="40" t="n">
        <f aca="false">CX13*Premissas!$C$36*Premissas!$C$37</f>
        <v>198.961326666547</v>
      </c>
      <c r="DQ13" s="40" t="n">
        <f aca="false">DI13+DJ13+DK13+DN13+DO13+DP13</f>
        <v>6655.93365273461</v>
      </c>
      <c r="DR13" s="56" t="n">
        <f aca="false">DF13-DQ13</f>
        <v>4579.24353214643</v>
      </c>
      <c r="DS13" s="40" t="n">
        <f aca="false">N(DS12)+DR13</f>
        <v>5476.84812596849</v>
      </c>
      <c r="DT13" s="40" t="n">
        <f aca="false">IFERROR((DO13+DP13)/CX13,0)</f>
        <v>61.6332477988292</v>
      </c>
      <c r="DU13" s="54" t="n">
        <f aca="false">IFERROR(DN13/(DL13/DA13),0)</f>
        <v>58.9003472907084</v>
      </c>
      <c r="DV13" s="58" t="n">
        <f aca="false">CX13*(1-Premissas!$E$23)*(1-Premissas!$E$24)</f>
        <v>15.0879006055465</v>
      </c>
      <c r="DW13" s="58" t="n">
        <f aca="false">CX13*(1-Premissas!$E$23)*Premissas!$E$24</f>
        <v>6.46624311666279</v>
      </c>
      <c r="DX13" s="58" t="n">
        <f aca="false">CX13*Premissas!$E$23*(1-Premissas!$E$24)</f>
        <v>8.12425417221735</v>
      </c>
      <c r="DY13" s="58" t="n">
        <f aca="false">CX13*Premissas!$E$23*Premissas!$E$24</f>
        <v>3.48182321666458</v>
      </c>
      <c r="DZ13" s="58" t="n">
        <f aca="false">DW13+IF(CV13&gt;12,INDEX($DW$6:$DW$29,CV13-12)*Premissas!$E$22,0)</f>
        <v>6.46624311666279</v>
      </c>
      <c r="EA13" s="58" t="n">
        <f aca="false">DY13+IF(CV13&gt;12,INDEX($DY$6:$DY$29,CV13-12)*Premissas!$E$22,0)</f>
        <v>3.48182321666458</v>
      </c>
      <c r="EB13" s="58" t="n">
        <f aca="false">IF(CV13&gt;12,(INDEX($DW$6:$DW$29,CV13-12)+INDEX($DY$6:$DY$29,CV13-12))*(1-Premissas!$E$22),0)</f>
        <v>0</v>
      </c>
      <c r="EC13" s="58" t="n">
        <f aca="false">DB13+DD13+DZ13+EA13</f>
        <v>128.403453513325</v>
      </c>
      <c r="ED13" s="59" t="n">
        <f aca="false">IF(DR13&gt;0,CV13,"")</f>
        <v>8</v>
      </c>
      <c r="EE13" s="40" t="n">
        <f aca="false">DB13*Premissas!$C$13+DD13*Premissas!$C$14</f>
        <v>8102.34848311186</v>
      </c>
      <c r="EF13" s="40" t="n">
        <f aca="false">DZ13*Premissas!$F$13+EA13*Premissas!$F$14</f>
        <v>6756.93556298895</v>
      </c>
      <c r="EG13" s="40" t="n">
        <f aca="false">EE13+EF13</f>
        <v>14859.2840461008</v>
      </c>
      <c r="EH13" s="40" t="n">
        <f aca="false">EG13*Premissas!$C$30</f>
        <v>891.557042766048</v>
      </c>
      <c r="EI13" s="40" t="n">
        <f aca="false">EG13*Premissas!$C$28+EC13*Premissas!$C$29</f>
        <v>582.992633835058</v>
      </c>
      <c r="EJ13" s="40" t="n">
        <f aca="false">DK13</f>
        <v>86.9020031455267</v>
      </c>
      <c r="EK13" s="40" t="n">
        <f aca="false">DN13</f>
        <v>3395</v>
      </c>
      <c r="EL13" s="40" t="n">
        <f aca="false">DO13+DP13</f>
        <v>2043.77212480385</v>
      </c>
      <c r="EM13" s="40" t="n">
        <f aca="false">EH13+EI13+EJ13+EK13+EL13</f>
        <v>7000.22380455049</v>
      </c>
      <c r="EN13" s="56" t="n">
        <f aca="false">EG13-EM13</f>
        <v>7859.06024155032</v>
      </c>
      <c r="EO13" s="56" t="n">
        <f aca="false">IF(CV13=1,Premissas!$C$8,N(EO12))+EN13</f>
        <v>28404.7831845714</v>
      </c>
      <c r="EP13" s="40" t="n">
        <f aca="false">DC13*Premissas!$F$13/12+DE13*Premissas!$F$14/12</f>
        <v>3132.82870176918</v>
      </c>
      <c r="EQ13" s="40" t="n">
        <f aca="false">N(EQ12)+EF13-EP13</f>
        <v>25334.7348713845</v>
      </c>
      <c r="ER13" s="1"/>
      <c r="ES13" s="1"/>
      <c r="ET13" s="1"/>
      <c r="EU13" s="1"/>
      <c r="EV13" s="1"/>
      <c r="EW13" s="1"/>
      <c r="EX13" s="1"/>
      <c r="EY13" s="1"/>
    </row>
    <row r="14" customFormat="false" ht="15" hidden="false" customHeight="false" outlineLevel="0" collapsed="false">
      <c r="A14" s="1"/>
      <c r="B14" s="51" t="n">
        <f aca="false">B13+1</f>
        <v>9</v>
      </c>
      <c r="C14" s="52" t="n">
        <f aca="false">EDATE(Premissas!$C$7,B14-1)</f>
        <v>46539</v>
      </c>
      <c r="D14" s="53" t="n">
        <f aca="false">Premissas!$C$19*(1+Premissas!$C$20)^(B14-1)</f>
        <v>5.06708032555047</v>
      </c>
      <c r="E14" s="54" t="n">
        <f aca="false">IFERROR(D14/Premissas!$C$25,0)</f>
        <v>50.6708032555047</v>
      </c>
      <c r="F14" s="53" t="n">
        <f aca="false">(N(H13)+N(J13))*Premissas!$C$21+AH14</f>
        <v>1.97293407250923</v>
      </c>
      <c r="G14" s="55" t="n">
        <f aca="false">H14+I14+J14+K14</f>
        <v>31.3127565779082</v>
      </c>
      <c r="H14" s="53" t="n">
        <f aca="false">N(H13)*(1-Premissas!$C$21)+AB14</f>
        <v>23.1617470078239</v>
      </c>
      <c r="I14" s="53" t="n">
        <f aca="false">SUM(INDEX($AF$6:$AF$29,MAX(1,B14-11)):INDEX($AF$6:$AF$29,B14))</f>
        <v>3.45409608339811</v>
      </c>
      <c r="J14" s="53" t="n">
        <f aca="false">N(J13)*(1-Premissas!$C$21)+AD14</f>
        <v>4.08736711902774</v>
      </c>
      <c r="K14" s="53" t="n">
        <f aca="false">SUM(INDEX($AG$6:$AG$29,MAX(1,B14-11)):INDEX($AG$6:$AG$29,B14))</f>
        <v>0.609546367658489</v>
      </c>
      <c r="L14" s="56" t="n">
        <f aca="false">H14*Premissas!$C$13+I14*Premissas!$F$13/12+J14*Premissas!$C$14+K14*Premissas!$F$14/12</f>
        <v>1913.20136083372</v>
      </c>
      <c r="M14" s="40" t="n">
        <f aca="false">L14*12</f>
        <v>22958.4163300047</v>
      </c>
      <c r="N14" s="40" t="n">
        <f aca="false">IFERROR(L14/G14,0)</f>
        <v>61.0997424028623</v>
      </c>
      <c r="O14" s="40" t="n">
        <f aca="false">L14*Premissas!$C$30</f>
        <v>114.792081650023</v>
      </c>
      <c r="P14" s="40" t="n">
        <f aca="false">L14*Premissas!$C$28+AI14*Premissas!$C$29</f>
        <v>80.5624004872896</v>
      </c>
      <c r="Q14" s="40" t="n">
        <f aca="false">G14*Premissas!$C$31</f>
        <v>15.6563782889541</v>
      </c>
      <c r="R14" s="40" t="n">
        <f aca="false">L14-O14-P14-Q14</f>
        <v>1702.19050040746</v>
      </c>
      <c r="S14" s="57" t="n">
        <f aca="false">IFERROR(R14/L14,0)</f>
        <v>0.889707970762516</v>
      </c>
      <c r="T14" s="40" t="n">
        <f aca="false">SUMPRODUCT(Premissas!$C$42:$C$61,--(Premissas!$D$42:$D$61&lt;=B14))</f>
        <v>3395</v>
      </c>
      <c r="U14" s="40" t="n">
        <f aca="false">Premissas!$C$34*(1+Premissas!$C$35)^(B14-1)</f>
        <v>1900.15512208142</v>
      </c>
      <c r="V14" s="40" t="n">
        <f aca="false">D14*Premissas!$C$36*Premissas!$C$37</f>
        <v>30.4024819533028</v>
      </c>
      <c r="W14" s="40" t="n">
        <f aca="false">O14+P14+Q14+T14+U14+V14</f>
        <v>5536.56846446099</v>
      </c>
      <c r="X14" s="56" t="n">
        <f aca="false">L14-W14</f>
        <v>-3623.36710362727</v>
      </c>
      <c r="Y14" s="40" t="n">
        <f aca="false">N(Y13)+X14</f>
        <v>-29945.9348710725</v>
      </c>
      <c r="Z14" s="40" t="n">
        <f aca="false">IFERROR((U14+V14)/D14,0)</f>
        <v>381</v>
      </c>
      <c r="AA14" s="54" t="n">
        <f aca="false">IFERROR(T14/(R14/G14),0)</f>
        <v>62.4529443423351</v>
      </c>
      <c r="AB14" s="58" t="n">
        <f aca="false">D14*(1-Premissas!$C$23)*(1-Premissas!$C$24)</f>
        <v>3.87631644904611</v>
      </c>
      <c r="AC14" s="58" t="n">
        <f aca="false">D14*(1-Premissas!$C$23)*Premissas!$C$24</f>
        <v>0.43070182767179</v>
      </c>
      <c r="AD14" s="58" t="n">
        <f aca="false">D14*Premissas!$C$23*(1-Premissas!$C$24)</f>
        <v>0.684055843949313</v>
      </c>
      <c r="AE14" s="58" t="n">
        <f aca="false">D14*Premissas!$C$23*Premissas!$C$24</f>
        <v>0.076006204883257</v>
      </c>
      <c r="AF14" s="58" t="n">
        <f aca="false">AC14+IF(B14&gt;12,INDEX($AC$6:$AC$29,B14-12)*Premissas!$C$22,0)</f>
        <v>0.43070182767179</v>
      </c>
      <c r="AG14" s="58" t="n">
        <f aca="false">AE14+IF(B14&gt;12,INDEX($AE$6:$AE$29,B14-12)*Premissas!$C$22,0)</f>
        <v>0.076006204883257</v>
      </c>
      <c r="AH14" s="58" t="n">
        <f aca="false">IF(B14&gt;12,(INDEX($AC$6:$AC$29,B14-12)+INDEX($AE$6:$AE$29,B14-12))*(1-Premissas!$C$22),0)</f>
        <v>0</v>
      </c>
      <c r="AI14" s="58" t="n">
        <f aca="false">H14+J14+AF14+AG14</f>
        <v>27.7558221594067</v>
      </c>
      <c r="AJ14" s="59" t="str">
        <f aca="false">IF(X14&gt;0,B14,"")</f>
        <v/>
      </c>
      <c r="AK14" s="40" t="n">
        <f aca="false">H14*Premissas!$C$13+J14*Premissas!$C$14</f>
        <v>1700.34472151554</v>
      </c>
      <c r="AL14" s="40" t="n">
        <f aca="false">AF14*Premissas!$F$13+AG14*Premissas!$F$14</f>
        <v>318.500961315093</v>
      </c>
      <c r="AM14" s="40" t="n">
        <f aca="false">AK14+AL14</f>
        <v>2018.84568283063</v>
      </c>
      <c r="AN14" s="40" t="n">
        <f aca="false">AM14*Premissas!$C$30</f>
        <v>121.130740969838</v>
      </c>
      <c r="AO14" s="40" t="n">
        <f aca="false">AM14*Premissas!$C$28+AI14*Premissas!$C$29</f>
        <v>84.2599517571814</v>
      </c>
      <c r="AP14" s="40" t="n">
        <f aca="false">Q14</f>
        <v>15.6563782889541</v>
      </c>
      <c r="AQ14" s="40" t="n">
        <f aca="false">T14</f>
        <v>3395</v>
      </c>
      <c r="AR14" s="40" t="n">
        <f aca="false">U14+V14</f>
        <v>1930.55760403473</v>
      </c>
      <c r="AS14" s="40" t="n">
        <f aca="false">AN14+AO14+AP14+AQ14+AR14</f>
        <v>5546.6046750507</v>
      </c>
      <c r="AT14" s="56" t="n">
        <f aca="false">AM14-AS14</f>
        <v>-3527.75899222007</v>
      </c>
      <c r="AU14" s="56" t="n">
        <f aca="false">IF(B14=1,Premissas!$C$8,N(AU13))+AT14</f>
        <v>-28559.5728627585</v>
      </c>
      <c r="AV14" s="40" t="n">
        <f aca="false">I14*Premissas!$F$13/12+K14*Premissas!$F$14/12</f>
        <v>212.856639318183</v>
      </c>
      <c r="AW14" s="40" t="n">
        <f aca="false">N(AW13)+AL14-AV14</f>
        <v>1531.89172189392</v>
      </c>
      <c r="AX14" s="1"/>
      <c r="AY14" s="51" t="n">
        <f aca="false">AY13+1</f>
        <v>9</v>
      </c>
      <c r="AZ14" s="52" t="n">
        <f aca="false">EDATE(Premissas!$C$7,AY14-1)</f>
        <v>46539</v>
      </c>
      <c r="BA14" s="53" t="n">
        <f aca="false">Premissas!$D$19*(1+Premissas!$D$20)^(AY14-1)</f>
        <v>13.7454894386554</v>
      </c>
      <c r="BB14" s="54" t="n">
        <f aca="false">IFERROR(BA14/Premissas!$D$25,0)</f>
        <v>68.7274471932768</v>
      </c>
      <c r="BC14" s="53" t="n">
        <f aca="false">(N(BE13)+N(BG13))*Premissas!$D$21+CE14</f>
        <v>2.81270866278095</v>
      </c>
      <c r="BD14" s="55" t="n">
        <f aca="false">BE14+BF14+BG14+BH14</f>
        <v>83.6026381419374</v>
      </c>
      <c r="BE14" s="53" t="n">
        <f aca="false">N(BE13)*(1-Premissas!$D$21)+BY14</f>
        <v>48.3283921078218</v>
      </c>
      <c r="BF14" s="53" t="n">
        <f aca="false">SUM(INDEX($CC$6:$CC$29,MAX(1,AY14-11)):INDEX($CC$6:$CC$29,AY14))</f>
        <v>14.3735864986312</v>
      </c>
      <c r="BG14" s="53" t="n">
        <f aca="false">N(BG13)*(1-Premissas!$D$21)+CA14</f>
        <v>16.1094640359406</v>
      </c>
      <c r="BH14" s="53" t="n">
        <f aca="false">SUM(INDEX($CD$6:$CD$29,MAX(1,AY14-11)):INDEX($CD$6:$CD$29,AY14))</f>
        <v>4.79119549954374</v>
      </c>
      <c r="BI14" s="56" t="n">
        <f aca="false">BE14*Premissas!$C$13+BF14*Premissas!$F$13/12+BG14*Premissas!$C$14+BH14*Premissas!$F$14/12</f>
        <v>5258.54871886011</v>
      </c>
      <c r="BJ14" s="40" t="n">
        <f aca="false">BI14*12</f>
        <v>63102.5846263214</v>
      </c>
      <c r="BK14" s="40" t="n">
        <f aca="false">IFERROR(BI14/BD14,0)</f>
        <v>62.8993155686349</v>
      </c>
      <c r="BL14" s="40" t="n">
        <f aca="false">BI14*Premissas!$C$30</f>
        <v>315.512923131607</v>
      </c>
      <c r="BM14" s="40" t="n">
        <f aca="false">BI14*Premissas!$C$28+CF14*Premissas!$C$29</f>
        <v>216.970812635536</v>
      </c>
      <c r="BN14" s="40" t="n">
        <f aca="false">BD14*Premissas!$C$31</f>
        <v>41.8013190709687</v>
      </c>
      <c r="BO14" s="40" t="n">
        <f aca="false">BI14-BL14-BM14-BN14</f>
        <v>4684.263664022</v>
      </c>
      <c r="BP14" s="57" t="n">
        <f aca="false">IFERROR(BO14/BI14,0)</f>
        <v>0.890790199817223</v>
      </c>
      <c r="BQ14" s="40" t="n">
        <f aca="false">SUMPRODUCT(Premissas!$C$42:$C$61,--(Premissas!$D$42:$D$61&lt;=AY14))</f>
        <v>3395</v>
      </c>
      <c r="BR14" s="40" t="n">
        <f aca="false">Premissas!$C$34*(1+Premissas!$C$35)^(AY14-1)</f>
        <v>1900.15512208142</v>
      </c>
      <c r="BS14" s="40" t="n">
        <f aca="false">BA14*Premissas!$C$36*Premissas!$C$37</f>
        <v>82.4729366319322</v>
      </c>
      <c r="BT14" s="40" t="n">
        <f aca="false">BL14+BM14+BN14+BQ14+BR14+BS14</f>
        <v>5951.91311355147</v>
      </c>
      <c r="BU14" s="56" t="n">
        <f aca="false">BI14-BT14</f>
        <v>-693.364394691354</v>
      </c>
      <c r="BV14" s="40" t="n">
        <f aca="false">N(BV13)+BU14</f>
        <v>-16944.8292597695</v>
      </c>
      <c r="BW14" s="40" t="n">
        <f aca="false">IFERROR((BR14+BS14)/BA14,0)</f>
        <v>144.23844764216</v>
      </c>
      <c r="BX14" s="54" t="n">
        <f aca="false">IFERROR(BQ14/(BO14/BD14),0)</f>
        <v>60.5924381823064</v>
      </c>
      <c r="BY14" s="58" t="n">
        <f aca="false">BA14*(1-Premissas!$D$23)*(1-Premissas!$D$24)</f>
        <v>8.24729366319322</v>
      </c>
      <c r="BZ14" s="58" t="n">
        <f aca="false">BA14*(1-Premissas!$D$23)*Premissas!$D$24</f>
        <v>2.06182341579831</v>
      </c>
      <c r="CA14" s="58" t="n">
        <f aca="false">BA14*Premissas!$D$23*(1-Premissas!$D$24)</f>
        <v>2.74909788773107</v>
      </c>
      <c r="CB14" s="58" t="n">
        <f aca="false">BA14*Premissas!$D$23*Premissas!$D$24</f>
        <v>0.687274471932768</v>
      </c>
      <c r="CC14" s="58" t="n">
        <f aca="false">BZ14+IF(AY14&gt;12,INDEX($BZ$6:$BZ$29,AY14-12)*Premissas!$D$22,0)</f>
        <v>2.06182341579831</v>
      </c>
      <c r="CD14" s="58" t="n">
        <f aca="false">CB14+IF(AY14&gt;12,INDEX($CB$6:$CB$29,AY14-12)*Premissas!$D$22,0)</f>
        <v>0.687274471932768</v>
      </c>
      <c r="CE14" s="58" t="n">
        <f aca="false">IF(AY14&gt;12,(INDEX($BZ$6:$BZ$29,AY14-12)+INDEX($CB$6:$CB$29,AY14-12))*(1-Premissas!$D$22),0)</f>
        <v>0</v>
      </c>
      <c r="CF14" s="58" t="n">
        <f aca="false">BE14+BG14+CC14+CD14</f>
        <v>67.1869540314935</v>
      </c>
      <c r="CG14" s="59" t="str">
        <f aca="false">IF(BU14&gt;0,AY14,"")</f>
        <v/>
      </c>
      <c r="CH14" s="40" t="n">
        <f aca="false">BE14*Premissas!$C$13+BG14*Premissas!$C$14</f>
        <v>4214.23579180206</v>
      </c>
      <c r="CI14" s="40" t="n">
        <f aca="false">CC14*Premissas!$F$13+CD14*Premissas!$F$14</f>
        <v>1797.62136329791</v>
      </c>
      <c r="CJ14" s="40" t="n">
        <f aca="false">CH14+CI14</f>
        <v>6011.85715509997</v>
      </c>
      <c r="CK14" s="40" t="n">
        <f aca="false">CJ14*Premissas!$C$30</f>
        <v>360.711429305998</v>
      </c>
      <c r="CL14" s="40" t="n">
        <f aca="false">CJ14*Premissas!$C$28+CF14*Premissas!$C$29</f>
        <v>243.336607903931</v>
      </c>
      <c r="CM14" s="40" t="n">
        <f aca="false">BN14</f>
        <v>41.8013190709687</v>
      </c>
      <c r="CN14" s="40" t="n">
        <f aca="false">BQ14</f>
        <v>3395</v>
      </c>
      <c r="CO14" s="40" t="n">
        <f aca="false">BR14+BS14</f>
        <v>1982.62805871336</v>
      </c>
      <c r="CP14" s="40" t="n">
        <f aca="false">CK14+CL14+CM14+CN14+CO14</f>
        <v>6023.47741499426</v>
      </c>
      <c r="CQ14" s="56" t="n">
        <f aca="false">CJ14-CP14</f>
        <v>-11.6202598942818</v>
      </c>
      <c r="CR14" s="56" t="n">
        <f aca="false">IF(AY14=1,Premissas!$C$8,N(CR13))+CQ14</f>
        <v>-9905.45448501427</v>
      </c>
      <c r="CS14" s="40" t="n">
        <f aca="false">BF14*Premissas!$F$13/12+BH14*Premissas!$F$14/12</f>
        <v>1044.31292705805</v>
      </c>
      <c r="CT14" s="40" t="n">
        <f aca="false">N(CT13)+CI14-CS14</f>
        <v>7778.31466823783</v>
      </c>
      <c r="CU14" s="1"/>
      <c r="CV14" s="51" t="n">
        <f aca="false">CV13+1</f>
        <v>9</v>
      </c>
      <c r="CW14" s="52" t="n">
        <f aca="false">EDATE(Premissas!$C$7,CV14-1)</f>
        <v>46539</v>
      </c>
      <c r="CX14" s="53" t="n">
        <f aca="false">Premissas!$E$19*(1+Premissas!$E$20)^(CV14-1)</f>
        <v>37.1394476444222</v>
      </c>
      <c r="CY14" s="54" t="n">
        <f aca="false">IFERROR(CX14/Premissas!$E$25,0)</f>
        <v>123.798158814741</v>
      </c>
      <c r="CZ14" s="53" t="n">
        <f aca="false">(N(DB13)+N(DD13))*Premissas!$E$21+EB14</f>
        <v>3.55366161539994</v>
      </c>
      <c r="DA14" s="55" t="n">
        <f aca="false">DB14+DC14+DD14+DE14</f>
        <v>207.389792320076</v>
      </c>
      <c r="DB14" s="53" t="n">
        <f aca="false">N(DB13)*(1-Premissas!$E$21)+DV14</f>
        <v>91.5845702952008</v>
      </c>
      <c r="DC14" s="53" t="n">
        <f aca="false">SUM(INDEX($DZ$6:$DZ$29,MAX(1,CV14-11)):INDEX($DZ$6:$DZ$29,CV14))</f>
        <v>43.2187947128483</v>
      </c>
      <c r="DD14" s="53" t="n">
        <f aca="false">N(DD13)*(1-Premissas!$E$21)+DX14</f>
        <v>49.3147686204927</v>
      </c>
      <c r="DE14" s="53" t="n">
        <f aca="false">SUM(INDEX($EA$6:$EA$29,MAX(1,CV14-11)):INDEX($EA$6:$EA$29,CV14))</f>
        <v>23.2716586915337</v>
      </c>
      <c r="DF14" s="56" t="n">
        <f aca="false">DB14*Premissas!$C$13+DC14*Premissas!$F$13/12+DD14*Premissas!$C$14+DE14*Premissas!$F$14/12</f>
        <v>13400.9908028149</v>
      </c>
      <c r="DG14" s="40" t="n">
        <f aca="false">DF14*12</f>
        <v>160811.889633779</v>
      </c>
      <c r="DH14" s="40" t="n">
        <f aca="false">IFERROR(DF14/DA14,0)</f>
        <v>64.6174078911872</v>
      </c>
      <c r="DI14" s="40" t="n">
        <f aca="false">DF14*Premissas!$C$30</f>
        <v>804.059448168895</v>
      </c>
      <c r="DJ14" s="40" t="n">
        <f aca="false">DF14*Premissas!$C$28+EC14*Premissas!$C$29</f>
        <v>543.534852970942</v>
      </c>
      <c r="DK14" s="40" t="n">
        <f aca="false">DA14*Premissas!$C$31</f>
        <v>103.694896160038</v>
      </c>
      <c r="DL14" s="40" t="n">
        <f aca="false">DF14-DI14-DJ14-DK14</f>
        <v>11949.701605515</v>
      </c>
      <c r="DM14" s="57" t="n">
        <f aca="false">IFERROR(DL14/DF14,0)</f>
        <v>0.891702843569221</v>
      </c>
      <c r="DN14" s="40" t="n">
        <f aca="false">SUMPRODUCT(Premissas!$C$42:$C$61,--(Premissas!$D$42:$D$61&lt;=CV14))</f>
        <v>3395</v>
      </c>
      <c r="DO14" s="40" t="n">
        <f aca="false">Premissas!$C$34*(1+Premissas!$C$35)^(CV14-1)</f>
        <v>1900.15512208142</v>
      </c>
      <c r="DP14" s="40" t="n">
        <f aca="false">CX14*Premissas!$C$36*Premissas!$C$37</f>
        <v>222.836685866533</v>
      </c>
      <c r="DQ14" s="40" t="n">
        <f aca="false">DI14+DJ14+DK14+DN14+DO14+DP14</f>
        <v>6969.28100524783</v>
      </c>
      <c r="DR14" s="56" t="n">
        <f aca="false">DF14-DQ14</f>
        <v>6431.70979756709</v>
      </c>
      <c r="DS14" s="40" t="n">
        <f aca="false">N(DS13)+DR14</f>
        <v>11908.5579235356</v>
      </c>
      <c r="DT14" s="40" t="n">
        <f aca="false">IFERROR((DO14+DP14)/CX14,0)</f>
        <v>57.1627189578519</v>
      </c>
      <c r="DU14" s="54" t="n">
        <f aca="false">IFERROR(DN14/(DL14/DA14),0)</f>
        <v>58.920998044144</v>
      </c>
      <c r="DV14" s="58" t="n">
        <f aca="false">CX14*(1-Premissas!$E$23)*(1-Premissas!$E$24)</f>
        <v>16.8984486782121</v>
      </c>
      <c r="DW14" s="58" t="n">
        <f aca="false">CX14*(1-Premissas!$E$23)*Premissas!$E$24</f>
        <v>7.24219229066232</v>
      </c>
      <c r="DX14" s="58" t="n">
        <f aca="false">CX14*Premissas!$E$23*(1-Premissas!$E$24)</f>
        <v>9.09916467288343</v>
      </c>
      <c r="DY14" s="58" t="n">
        <f aca="false">CX14*Premissas!$E$23*Premissas!$E$24</f>
        <v>3.89964200266433</v>
      </c>
      <c r="DZ14" s="58" t="n">
        <f aca="false">DW14+IF(CV14&gt;12,INDEX($DW$6:$DW$29,CV14-12)*Premissas!$E$22,0)</f>
        <v>7.24219229066232</v>
      </c>
      <c r="EA14" s="58" t="n">
        <f aca="false">DY14+IF(CV14&gt;12,INDEX($DY$6:$DY$29,CV14-12)*Premissas!$E$22,0)</f>
        <v>3.89964200266433</v>
      </c>
      <c r="EB14" s="58" t="n">
        <f aca="false">IF(CV14&gt;12,(INDEX($DW$6:$DW$29,CV14-12)+INDEX($DY$6:$DY$29,CV14-12))*(1-Premissas!$E$22),0)</f>
        <v>0</v>
      </c>
      <c r="EC14" s="58" t="n">
        <f aca="false">DB14+DD14+DZ14+EA14</f>
        <v>152.04117320902</v>
      </c>
      <c r="ED14" s="59" t="n">
        <f aca="false">IF(DR14&gt;0,CV14,"")</f>
        <v>9</v>
      </c>
      <c r="EE14" s="40" t="n">
        <f aca="false">DB14*Premissas!$C$13+DD14*Premissas!$C$14</f>
        <v>9637.51478183344</v>
      </c>
      <c r="EF14" s="40" t="n">
        <f aca="false">DZ14*Premissas!$F$13+EA14*Premissas!$F$14</f>
        <v>7567.76783054762</v>
      </c>
      <c r="EG14" s="40" t="n">
        <f aca="false">EE14+EF14</f>
        <v>17205.2826123811</v>
      </c>
      <c r="EH14" s="40" t="n">
        <f aca="false">EG14*Premissas!$C$30</f>
        <v>1032.31695674286</v>
      </c>
      <c r="EI14" s="40" t="n">
        <f aca="false">EG14*Premissas!$C$28+EC14*Premissas!$C$29</f>
        <v>676.685066305757</v>
      </c>
      <c r="EJ14" s="40" t="n">
        <f aca="false">DK14</f>
        <v>103.694896160038</v>
      </c>
      <c r="EK14" s="40" t="n">
        <f aca="false">DN14</f>
        <v>3395</v>
      </c>
      <c r="EL14" s="40" t="n">
        <f aca="false">DO14+DP14</f>
        <v>2122.99180794796</v>
      </c>
      <c r="EM14" s="40" t="n">
        <f aca="false">EH14+EI14+EJ14+EK14+EL14</f>
        <v>7330.68872715662</v>
      </c>
      <c r="EN14" s="56" t="n">
        <f aca="false">EG14-EM14</f>
        <v>9874.59388522444</v>
      </c>
      <c r="EO14" s="56" t="n">
        <f aca="false">IF(CV14=1,Premissas!$C$8,N(EO13))+EN14</f>
        <v>38279.3770697959</v>
      </c>
      <c r="EP14" s="40" t="n">
        <f aca="false">DC14*Premissas!$F$13/12+DE14*Premissas!$F$14/12</f>
        <v>3763.47602098148</v>
      </c>
      <c r="EQ14" s="40" t="n">
        <f aca="false">N(EQ13)+EF14-EP14</f>
        <v>29139.0266809506</v>
      </c>
      <c r="ER14" s="1"/>
      <c r="ES14" s="1"/>
      <c r="ET14" s="1"/>
      <c r="EU14" s="1"/>
      <c r="EV14" s="1"/>
      <c r="EW14" s="1"/>
      <c r="EX14" s="1"/>
      <c r="EY14" s="1"/>
    </row>
    <row r="15" customFormat="false" ht="15" hidden="false" customHeight="false" outlineLevel="0" collapsed="false">
      <c r="A15" s="1"/>
      <c r="B15" s="51" t="n">
        <f aca="false">B14+1</f>
        <v>10</v>
      </c>
      <c r="C15" s="52" t="n">
        <f aca="false">EDATE(Premissas!$C$7,B15-1)</f>
        <v>46569</v>
      </c>
      <c r="D15" s="53" t="n">
        <f aca="false">Premissas!$C$19*(1+Premissas!$C$20)^(B15-1)</f>
        <v>5.21909273531698</v>
      </c>
      <c r="E15" s="54" t="n">
        <f aca="false">IFERROR(D15/Premissas!$C$25,0)</f>
        <v>52.1909273531698</v>
      </c>
      <c r="F15" s="53" t="n">
        <f aca="false">(N(H14)+N(J14))*Premissas!$C$21+AH15</f>
        <v>2.17992913014813</v>
      </c>
      <c r="G15" s="55" t="n">
        <f aca="false">H15+I15+J15+K15</f>
        <v>34.3519201830771</v>
      </c>
      <c r="H15" s="53" t="n">
        <f aca="false">N(H14)*(1-Premissas!$C$21)+AB15</f>
        <v>25.3014131897155</v>
      </c>
      <c r="I15" s="53" t="n">
        <f aca="false">SUM(INDEX($AF$6:$AF$29,MAX(1,B15-11)):INDEX($AF$6:$AF$29,B15))</f>
        <v>3.89771896590005</v>
      </c>
      <c r="J15" s="53" t="n">
        <f aca="false">N(J14)*(1-Premissas!$C$21)+AD15</f>
        <v>4.46495526877331</v>
      </c>
      <c r="K15" s="53" t="n">
        <f aca="false">SUM(INDEX($AG$6:$AG$29,MAX(1,B15-11)):INDEX($AG$6:$AG$29,B15))</f>
        <v>0.687832758688244</v>
      </c>
      <c r="L15" s="56" t="n">
        <f aca="false">H15*Premissas!$C$13+I15*Premissas!$F$13/12+J15*Premissas!$C$14+K15*Premissas!$F$14/12</f>
        <v>2097.61603030743</v>
      </c>
      <c r="M15" s="40" t="n">
        <f aca="false">L15*12</f>
        <v>25171.3923636891</v>
      </c>
      <c r="N15" s="40" t="n">
        <f aca="false">IFERROR(L15/G15,0)</f>
        <v>61.0625554300393</v>
      </c>
      <c r="O15" s="40" t="n">
        <f aca="false">L15*Premissas!$C$30</f>
        <v>125.856961818446</v>
      </c>
      <c r="P15" s="40" t="n">
        <f aca="false">L15*Premissas!$C$28+AI15*Premissas!$C$29</f>
        <v>88.25781714945</v>
      </c>
      <c r="Q15" s="40" t="n">
        <f aca="false">G15*Premissas!$C$31</f>
        <v>17.1759600915385</v>
      </c>
      <c r="R15" s="40" t="n">
        <f aca="false">L15-O15-P15-Q15</f>
        <v>1866.32529124799</v>
      </c>
      <c r="S15" s="57" t="n">
        <f aca="false">IFERROR(R15/L15,0)</f>
        <v>0.889736378957051</v>
      </c>
      <c r="T15" s="40" t="n">
        <f aca="false">SUMPRODUCT(Premissas!$C$42:$C$61,--(Premissas!$D$42:$D$61&lt;=B15))</f>
        <v>3395</v>
      </c>
      <c r="U15" s="40" t="n">
        <f aca="false">Premissas!$C$34*(1+Premissas!$C$35)^(B15-1)</f>
        <v>1957.15977574387</v>
      </c>
      <c r="V15" s="40" t="n">
        <f aca="false">D15*Premissas!$C$36*Premissas!$C$37</f>
        <v>31.3145564119019</v>
      </c>
      <c r="W15" s="40" t="n">
        <f aca="false">O15+P15+Q15+T15+U15+V15</f>
        <v>5614.7650712152</v>
      </c>
      <c r="X15" s="56" t="n">
        <f aca="false">L15-W15</f>
        <v>-3517.14904090778</v>
      </c>
      <c r="Y15" s="40" t="n">
        <f aca="false">N(Y14)+X15</f>
        <v>-33463.0839119803</v>
      </c>
      <c r="Z15" s="40" t="n">
        <f aca="false">IFERROR((U15+V15)/D15,0)</f>
        <v>381</v>
      </c>
      <c r="AA15" s="54" t="n">
        <f aca="false">IFERROR(T15/(R15/G15),0)</f>
        <v>62.488982798685</v>
      </c>
      <c r="AB15" s="58" t="n">
        <f aca="false">D15*(1-Premissas!$C$23)*(1-Premissas!$C$24)</f>
        <v>3.99260594251749</v>
      </c>
      <c r="AC15" s="58" t="n">
        <f aca="false">D15*(1-Premissas!$C$23)*Premissas!$C$24</f>
        <v>0.443622882501943</v>
      </c>
      <c r="AD15" s="58" t="n">
        <f aca="false">D15*Premissas!$C$23*(1-Premissas!$C$24)</f>
        <v>0.704577519267792</v>
      </c>
      <c r="AE15" s="58" t="n">
        <f aca="false">D15*Premissas!$C$23*Premissas!$C$24</f>
        <v>0.0782863910297547</v>
      </c>
      <c r="AF15" s="58" t="n">
        <f aca="false">AC15+IF(B15&gt;12,INDEX($AC$6:$AC$29,B15-12)*Premissas!$C$22,0)</f>
        <v>0.443622882501943</v>
      </c>
      <c r="AG15" s="58" t="n">
        <f aca="false">AE15+IF(B15&gt;12,INDEX($AE$6:$AE$29,B15-12)*Premissas!$C$22,0)</f>
        <v>0.0782863910297547</v>
      </c>
      <c r="AH15" s="58" t="n">
        <f aca="false">IF(B15&gt;12,(INDEX($AC$6:$AC$29,B15-12)+INDEX($AE$6:$AE$29,B15-12))*(1-Premissas!$C$22),0)</f>
        <v>0</v>
      </c>
      <c r="AI15" s="58" t="n">
        <f aca="false">H15+J15+AF15+AG15</f>
        <v>30.2882777320205</v>
      </c>
      <c r="AJ15" s="59" t="str">
        <f aca="false">IF(X15&gt;0,B15,"")</f>
        <v/>
      </c>
      <c r="AK15" s="40" t="n">
        <f aca="false">H15*Premissas!$C$13+J15*Premissas!$C$14</f>
        <v>1857.4213918097</v>
      </c>
      <c r="AL15" s="40" t="n">
        <f aca="false">AF15*Premissas!$F$13+AG15*Premissas!$F$14</f>
        <v>328.055990154546</v>
      </c>
      <c r="AM15" s="40" t="n">
        <f aca="false">AK15+AL15</f>
        <v>2185.47738196424</v>
      </c>
      <c r="AN15" s="40" t="n">
        <f aca="false">AM15*Premissas!$C$30</f>
        <v>131.128642917855</v>
      </c>
      <c r="AO15" s="40" t="n">
        <f aca="false">AM15*Premissas!$C$28+AI15*Premissas!$C$29</f>
        <v>91.3329644574386</v>
      </c>
      <c r="AP15" s="40" t="n">
        <f aca="false">Q15</f>
        <v>17.1759600915385</v>
      </c>
      <c r="AQ15" s="40" t="n">
        <f aca="false">T15</f>
        <v>3395</v>
      </c>
      <c r="AR15" s="40" t="n">
        <f aca="false">U15+V15</f>
        <v>1988.47433215577</v>
      </c>
      <c r="AS15" s="40" t="n">
        <f aca="false">AN15+AO15+AP15+AQ15+AR15</f>
        <v>5623.1118996226</v>
      </c>
      <c r="AT15" s="56" t="n">
        <f aca="false">AM15-AS15</f>
        <v>-3437.63451765836</v>
      </c>
      <c r="AU15" s="56" t="n">
        <f aca="false">IF(B15=1,Premissas!$C$8,N(AU14))+AT15</f>
        <v>-31997.2073804169</v>
      </c>
      <c r="AV15" s="40" t="n">
        <f aca="false">I15*Premissas!$F$13/12+K15*Premissas!$F$14/12</f>
        <v>240.194638497728</v>
      </c>
      <c r="AW15" s="40" t="n">
        <f aca="false">N(AW14)+AL15-AV15</f>
        <v>1619.75307355074</v>
      </c>
      <c r="AX15" s="1"/>
      <c r="AY15" s="51" t="n">
        <f aca="false">AY14+1</f>
        <v>10</v>
      </c>
      <c r="AZ15" s="52" t="n">
        <f aca="false">EDATE(Premissas!$C$7,AY15-1)</f>
        <v>46569</v>
      </c>
      <c r="BA15" s="53" t="n">
        <f aca="false">Premissas!$D$19*(1+Premissas!$D$20)^(AY15-1)</f>
        <v>14.7076736993612</v>
      </c>
      <c r="BB15" s="54" t="n">
        <f aca="false">IFERROR(BA15/Premissas!$D$25,0)</f>
        <v>73.5383684968062</v>
      </c>
      <c r="BC15" s="53" t="n">
        <f aca="false">(N(BE14)+N(BG14))*Premissas!$D$21+CE15</f>
        <v>3.22189280718812</v>
      </c>
      <c r="BD15" s="55" t="n">
        <f aca="false">BE15+BF15+BG15+BH15</f>
        <v>95.0884190341105</v>
      </c>
      <c r="BE15" s="53" t="n">
        <f aca="false">N(BE14)*(1-Premissas!$D$21)+BY15</f>
        <v>54.7365767220475</v>
      </c>
      <c r="BF15" s="53" t="n">
        <f aca="false">SUM(INDEX($CC$6:$CC$29,MAX(1,AY15-11)):INDEX($CC$6:$CC$29,AY15))</f>
        <v>16.5797375535354</v>
      </c>
      <c r="BG15" s="53" t="n">
        <f aca="false">N(BG14)*(1-Premissas!$D$21)+CA15</f>
        <v>18.2455255740158</v>
      </c>
      <c r="BH15" s="53" t="n">
        <f aca="false">SUM(INDEX($CD$6:$CD$29,MAX(1,AY15-11)):INDEX($CD$6:$CD$29,AY15))</f>
        <v>5.5265791845118</v>
      </c>
      <c r="BI15" s="56" t="n">
        <f aca="false">BE15*Premissas!$C$13+BF15*Premissas!$F$13/12+BG15*Premissas!$C$14+BH15*Premissas!$F$14/12</f>
        <v>5977.63032211465</v>
      </c>
      <c r="BJ15" s="40" t="n">
        <f aca="false">BI15*12</f>
        <v>71731.5638653759</v>
      </c>
      <c r="BK15" s="40" t="n">
        <f aca="false">IFERROR(BI15/BD15,0)</f>
        <v>62.8639153204381</v>
      </c>
      <c r="BL15" s="40" t="n">
        <f aca="false">BI15*Premissas!$C$30</f>
        <v>358.657819326879</v>
      </c>
      <c r="BM15" s="40" t="n">
        <f aca="false">BI15*Premissas!$C$28+CF15*Premissas!$C$29</f>
        <v>246.419643421621</v>
      </c>
      <c r="BN15" s="40" t="n">
        <f aca="false">BD15*Premissas!$C$31</f>
        <v>47.5442095170553</v>
      </c>
      <c r="BO15" s="40" t="n">
        <f aca="false">BI15-BL15-BM15-BN15</f>
        <v>5325.0086498491</v>
      </c>
      <c r="BP15" s="57" t="n">
        <f aca="false">IFERROR(BO15/BI15,0)</f>
        <v>0.89082267770037</v>
      </c>
      <c r="BQ15" s="40" t="n">
        <f aca="false">SUMPRODUCT(Premissas!$C$42:$C$61,--(Premissas!$D$42:$D$61&lt;=AY15))</f>
        <v>3395</v>
      </c>
      <c r="BR15" s="40" t="n">
        <f aca="false">Premissas!$C$34*(1+Premissas!$C$35)^(AY15-1)</f>
        <v>1957.15977574387</v>
      </c>
      <c r="BS15" s="40" t="n">
        <f aca="false">BA15*Premissas!$C$36*Premissas!$C$37</f>
        <v>88.2460421961675</v>
      </c>
      <c r="BT15" s="40" t="n">
        <f aca="false">BL15+BM15+BN15+BQ15+BR15+BS15</f>
        <v>6093.02749020559</v>
      </c>
      <c r="BU15" s="56" t="n">
        <f aca="false">BI15-BT15</f>
        <v>-115.397168090936</v>
      </c>
      <c r="BV15" s="40" t="n">
        <f aca="false">N(BV14)+BU15</f>
        <v>-17060.2264278605</v>
      </c>
      <c r="BW15" s="40" t="n">
        <f aca="false">IFERROR((BR15+BS15)/BA15,0)</f>
        <v>139.070655206939</v>
      </c>
      <c r="BX15" s="54" t="n">
        <f aca="false">IFERROR(BQ15/(BO15/BD15),0)</f>
        <v>60.6243489632554</v>
      </c>
      <c r="BY15" s="58" t="n">
        <f aca="false">BA15*(1-Premissas!$D$23)*(1-Premissas!$D$24)</f>
        <v>8.82460421961675</v>
      </c>
      <c r="BZ15" s="58" t="n">
        <f aca="false">BA15*(1-Premissas!$D$23)*Premissas!$D$24</f>
        <v>2.20615105490419</v>
      </c>
      <c r="CA15" s="58" t="n">
        <f aca="false">BA15*Premissas!$D$23*(1-Premissas!$D$24)</f>
        <v>2.94153473987225</v>
      </c>
      <c r="CB15" s="58" t="n">
        <f aca="false">BA15*Premissas!$D$23*Premissas!$D$24</f>
        <v>0.735383684968062</v>
      </c>
      <c r="CC15" s="58" t="n">
        <f aca="false">BZ15+IF(AY15&gt;12,INDEX($BZ$6:$BZ$29,AY15-12)*Premissas!$D$22,0)</f>
        <v>2.20615105490419</v>
      </c>
      <c r="CD15" s="58" t="n">
        <f aca="false">CB15+IF(AY15&gt;12,INDEX($CB$6:$CB$29,AY15-12)*Premissas!$D$22,0)</f>
        <v>0.735383684968062</v>
      </c>
      <c r="CE15" s="58" t="n">
        <f aca="false">IF(AY15&gt;12,(INDEX($BZ$6:$BZ$29,AY15-12)+INDEX($CB$6:$CB$29,AY15-12))*(1-Premissas!$D$22),0)</f>
        <v>0</v>
      </c>
      <c r="CF15" s="58" t="n">
        <f aca="false">BE15+BG15+CC15+CD15</f>
        <v>75.9236370359355</v>
      </c>
      <c r="CG15" s="59" t="str">
        <f aca="false">IF(BU15&gt;0,AY15,"")</f>
        <v/>
      </c>
      <c r="CH15" s="40" t="n">
        <f aca="false">BE15*Premissas!$C$13+BG15*Premissas!$C$14</f>
        <v>4773.02949016254</v>
      </c>
      <c r="CI15" s="40" t="n">
        <f aca="false">CC15*Premissas!$F$13+CD15*Premissas!$F$14</f>
        <v>1923.45485872876</v>
      </c>
      <c r="CJ15" s="40" t="n">
        <f aca="false">CH15+CI15</f>
        <v>6696.4843488913</v>
      </c>
      <c r="CK15" s="40" t="n">
        <f aca="false">CJ15*Premissas!$C$30</f>
        <v>401.789060933478</v>
      </c>
      <c r="CL15" s="40" t="n">
        <f aca="false">CJ15*Premissas!$C$28+CF15*Premissas!$C$29</f>
        <v>271.579534358804</v>
      </c>
      <c r="CM15" s="40" t="n">
        <f aca="false">BN15</f>
        <v>47.5442095170553</v>
      </c>
      <c r="CN15" s="40" t="n">
        <f aca="false">BQ15</f>
        <v>3395</v>
      </c>
      <c r="CO15" s="40" t="n">
        <f aca="false">BR15+BS15</f>
        <v>2045.40581794004</v>
      </c>
      <c r="CP15" s="40" t="n">
        <f aca="false">CK15+CL15+CM15+CN15+CO15</f>
        <v>6161.31862274937</v>
      </c>
      <c r="CQ15" s="56" t="n">
        <f aca="false">CJ15-CP15</f>
        <v>535.165726141932</v>
      </c>
      <c r="CR15" s="56" t="n">
        <f aca="false">IF(AY15=1,Premissas!$C$8,N(CR14))+CQ15</f>
        <v>-9370.28875887234</v>
      </c>
      <c r="CS15" s="40" t="n">
        <f aca="false">BF15*Premissas!$F$13/12+BH15*Premissas!$F$14/12</f>
        <v>1204.60083195212</v>
      </c>
      <c r="CT15" s="40" t="n">
        <f aca="false">N(CT14)+CI15-CS15</f>
        <v>8497.16869501448</v>
      </c>
      <c r="CU15" s="1"/>
      <c r="CV15" s="51" t="n">
        <f aca="false">CV14+1</f>
        <v>10</v>
      </c>
      <c r="CW15" s="52" t="n">
        <f aca="false">EDATE(Premissas!$C$7,CV15-1)</f>
        <v>46569</v>
      </c>
      <c r="CX15" s="53" t="n">
        <f aca="false">Premissas!$E$19*(1+Premissas!$E$20)^(CV15-1)</f>
        <v>41.5961813617528</v>
      </c>
      <c r="CY15" s="54" t="n">
        <f aca="false">IFERROR(CX15/Premissas!$E$25,0)</f>
        <v>138.65393787251</v>
      </c>
      <c r="CZ15" s="53" t="n">
        <f aca="false">(N(DB14)+N(DD14))*Premissas!$E$21+EB15</f>
        <v>4.22698016747081</v>
      </c>
      <c r="DA15" s="55" t="n">
        <f aca="false">DB15+DC15+DD15+DE15</f>
        <v>244.758993514358</v>
      </c>
      <c r="DB15" s="53" t="n">
        <f aca="false">N(DB14)*(1-Premissas!$E$21)+DV15</f>
        <v>107.763295705942</v>
      </c>
      <c r="DC15" s="53" t="n">
        <f aca="false">SUM(INDEX($DZ$6:$DZ$29,MAX(1,CV15-11)):INDEX($DZ$6:$DZ$29,CV15))</f>
        <v>51.3300500783901</v>
      </c>
      <c r="DD15" s="53" t="n">
        <f aca="false">N(DD14)*(1-Premissas!$E$21)+DX15</f>
        <v>58.0263899955074</v>
      </c>
      <c r="DE15" s="53" t="n">
        <f aca="false">SUM(INDEX($EA$6:$EA$29,MAX(1,CV15-11)):INDEX($EA$6:$EA$29,CV15))</f>
        <v>27.6392577345178</v>
      </c>
      <c r="DF15" s="56" t="n">
        <f aca="false">DB15*Premissas!$C$13+DC15*Premissas!$F$13/12+DD15*Premissas!$C$14+DE15*Premissas!$F$14/12</f>
        <v>15809.8155204784</v>
      </c>
      <c r="DG15" s="40" t="n">
        <f aca="false">DF15*12</f>
        <v>189717.786245741</v>
      </c>
      <c r="DH15" s="40" t="n">
        <f aca="false">IFERROR(DF15/DA15,0)</f>
        <v>64.5933997908478</v>
      </c>
      <c r="DI15" s="40" t="n">
        <f aca="false">DF15*Premissas!$C$30</f>
        <v>948.588931228705</v>
      </c>
      <c r="DJ15" s="40" t="n">
        <f aca="false">DF15*Premissas!$C$28+EC15*Premissas!$C$29</f>
        <v>640.695127870633</v>
      </c>
      <c r="DK15" s="40" t="n">
        <f aca="false">DA15*Premissas!$C$31</f>
        <v>122.379496757179</v>
      </c>
      <c r="DL15" s="40" t="n">
        <f aca="false">DF15-DI15-DJ15-DK15</f>
        <v>14098.1519646219</v>
      </c>
      <c r="DM15" s="57" t="n">
        <f aca="false">IFERROR(DL15/DF15,0)</f>
        <v>0.891734122157251</v>
      </c>
      <c r="DN15" s="40" t="n">
        <f aca="false">SUMPRODUCT(Premissas!$C$42:$C$61,--(Premissas!$D$42:$D$61&lt;=CV15))</f>
        <v>3395</v>
      </c>
      <c r="DO15" s="40" t="n">
        <f aca="false">Premissas!$C$34*(1+Premissas!$C$35)^(CV15-1)</f>
        <v>1957.15977574387</v>
      </c>
      <c r="DP15" s="40" t="n">
        <f aca="false">CX15*Premissas!$C$36*Premissas!$C$37</f>
        <v>249.577088170517</v>
      </c>
      <c r="DQ15" s="40" t="n">
        <f aca="false">DI15+DJ15+DK15+DN15+DO15+DP15</f>
        <v>7313.4004197709</v>
      </c>
      <c r="DR15" s="56" t="n">
        <f aca="false">DF15-DQ15</f>
        <v>8496.41510070752</v>
      </c>
      <c r="DS15" s="40" t="n">
        <f aca="false">N(DS14)+DR15</f>
        <v>20404.9730242431</v>
      </c>
      <c r="DT15" s="40" t="n">
        <f aca="false">IFERROR((DO15+DP15)/CX15,0)</f>
        <v>53.0514290415959</v>
      </c>
      <c r="DU15" s="54" t="n">
        <f aca="false">IFERROR(DN15/(DL15/DA15),0)</f>
        <v>58.9408303348168</v>
      </c>
      <c r="DV15" s="58" t="n">
        <f aca="false">CX15*(1-Premissas!$E$23)*(1-Premissas!$E$24)</f>
        <v>18.9262625195975</v>
      </c>
      <c r="DW15" s="58" t="n">
        <f aca="false">CX15*(1-Premissas!$E$23)*Premissas!$E$24</f>
        <v>8.11125536554181</v>
      </c>
      <c r="DX15" s="58" t="n">
        <f aca="false">CX15*Premissas!$E$23*(1-Premissas!$E$24)</f>
        <v>10.1910644336294</v>
      </c>
      <c r="DY15" s="58" t="n">
        <f aca="false">CX15*Premissas!$E$23*Premissas!$E$24</f>
        <v>4.36759904298405</v>
      </c>
      <c r="DZ15" s="58" t="n">
        <f aca="false">DW15+IF(CV15&gt;12,INDEX($DW$6:$DW$29,CV15-12)*Premissas!$E$22,0)</f>
        <v>8.11125536554181</v>
      </c>
      <c r="EA15" s="58" t="n">
        <f aca="false">DY15+IF(CV15&gt;12,INDEX($DY$6:$DY$29,CV15-12)*Premissas!$E$22,0)</f>
        <v>4.36759904298405</v>
      </c>
      <c r="EB15" s="58" t="n">
        <f aca="false">IF(CV15&gt;12,(INDEX($DW$6:$DW$29,CV15-12)+INDEX($DY$6:$DY$29,CV15-12))*(1-Premissas!$E$22),0)</f>
        <v>0</v>
      </c>
      <c r="EC15" s="58" t="n">
        <f aca="false">DB15+DD15+DZ15+EA15</f>
        <v>178.268540109976</v>
      </c>
      <c r="ED15" s="59" t="n">
        <f aca="false">IF(DR15&gt;0,CV15,"")</f>
        <v>10</v>
      </c>
      <c r="EE15" s="40" t="n">
        <f aca="false">DB15*Premissas!$C$13+DD15*Premissas!$C$14</f>
        <v>11340.0145019792</v>
      </c>
      <c r="EF15" s="40" t="n">
        <f aca="false">DZ15*Premissas!$F$13+EA15*Premissas!$F$14</f>
        <v>8475.89997021334</v>
      </c>
      <c r="EG15" s="40" t="n">
        <f aca="false">EE15+EF15</f>
        <v>19815.9144721925</v>
      </c>
      <c r="EH15" s="40" t="n">
        <f aca="false">EG15*Premissas!$C$30</f>
        <v>1188.95486833155</v>
      </c>
      <c r="EI15" s="40" t="n">
        <f aca="false">EG15*Premissas!$C$28+EC15*Premissas!$C$29</f>
        <v>780.908591180626</v>
      </c>
      <c r="EJ15" s="40" t="n">
        <f aca="false">DK15</f>
        <v>122.379496757179</v>
      </c>
      <c r="EK15" s="40" t="n">
        <f aca="false">DN15</f>
        <v>3395</v>
      </c>
      <c r="EL15" s="40" t="n">
        <f aca="false">DO15+DP15</f>
        <v>2206.73686391438</v>
      </c>
      <c r="EM15" s="40" t="n">
        <f aca="false">EH15+EI15+EJ15+EK15+EL15</f>
        <v>7693.97982018374</v>
      </c>
      <c r="EN15" s="56" t="n">
        <f aca="false">EG15-EM15</f>
        <v>12121.9346520088</v>
      </c>
      <c r="EO15" s="56" t="n">
        <f aca="false">IF(CV15=1,Premissas!$C$8,N(EO14))+EN15</f>
        <v>50401.3117218046</v>
      </c>
      <c r="EP15" s="40" t="n">
        <f aca="false">DC15*Premissas!$F$13/12+DE15*Premissas!$F$14/12</f>
        <v>4469.80101849926</v>
      </c>
      <c r="EQ15" s="40" t="n">
        <f aca="false">N(EQ14)+EF15-EP15</f>
        <v>33145.1256326647</v>
      </c>
      <c r="ER15" s="1"/>
      <c r="ES15" s="1"/>
      <c r="ET15" s="1"/>
      <c r="EU15" s="1"/>
      <c r="EV15" s="1"/>
      <c r="EW15" s="1"/>
      <c r="EX15" s="1"/>
      <c r="EY15" s="1"/>
    </row>
    <row r="16" customFormat="false" ht="15" hidden="false" customHeight="false" outlineLevel="0" collapsed="false">
      <c r="A16" s="1"/>
      <c r="B16" s="51" t="n">
        <f aca="false">B15+1</f>
        <v>11</v>
      </c>
      <c r="C16" s="52" t="n">
        <f aca="false">EDATE(Premissas!$C$7,B16-1)</f>
        <v>46600</v>
      </c>
      <c r="D16" s="53" t="n">
        <f aca="false">Premissas!$C$19*(1+Premissas!$C$20)^(B16-1)</f>
        <v>5.37566551737649</v>
      </c>
      <c r="E16" s="54" t="n">
        <f aca="false">IFERROR(D16/Premissas!$C$25,0)</f>
        <v>53.7566551737649</v>
      </c>
      <c r="F16" s="53" t="n">
        <f aca="false">(N(H15)+N(J15))*Premissas!$C$21+AH16</f>
        <v>2.3813094766791</v>
      </c>
      <c r="G16" s="55" t="n">
        <f aca="false">H16+I16+J16+K16</f>
        <v>37.3462762237745</v>
      </c>
      <c r="H16" s="53" t="n">
        <f aca="false">N(H15)*(1-Premissas!$C$21)+AB16</f>
        <v>27.3896842553312</v>
      </c>
      <c r="I16" s="53" t="n">
        <f aca="false">SUM(INDEX($AF$6:$AF$29,MAX(1,B16-11)):INDEX($AF$6:$AF$29,B16))</f>
        <v>4.35465053487705</v>
      </c>
      <c r="J16" s="53" t="n">
        <f aca="false">N(J15)*(1-Premissas!$C$21)+AD16</f>
        <v>4.83347369211728</v>
      </c>
      <c r="K16" s="53" t="n">
        <f aca="false">SUM(INDEX($AG$6:$AG$29,MAX(1,B16-11)):INDEX($AG$6:$AG$29,B16))</f>
        <v>0.768467741448891</v>
      </c>
      <c r="L16" s="56" t="n">
        <f aca="false">H16*Premissas!$C$13+I16*Premissas!$F$13/12+J16*Premissas!$C$14+K16*Premissas!$F$14/12</f>
        <v>2279.07783357345</v>
      </c>
      <c r="M16" s="40" t="n">
        <f aca="false">L16*12</f>
        <v>27348.9340028814</v>
      </c>
      <c r="N16" s="40" t="n">
        <f aca="false">IFERROR(L16/G16,0)</f>
        <v>61.0255710614221</v>
      </c>
      <c r="O16" s="40" t="n">
        <f aca="false">L16*Premissas!$C$30</f>
        <v>136.744670014407</v>
      </c>
      <c r="P16" s="40" t="n">
        <f aca="false">L16*Premissas!$C$28+AI16*Premissas!$C$29</f>
        <v>95.8204791796719</v>
      </c>
      <c r="Q16" s="40" t="n">
        <f aca="false">G16*Premissas!$C$31</f>
        <v>18.6731381118872</v>
      </c>
      <c r="R16" s="40" t="n">
        <f aca="false">L16-O16-P16-Q16</f>
        <v>2027.83954626748</v>
      </c>
      <c r="S16" s="57" t="n">
        <f aca="false">IFERROR(R16/L16,0)</f>
        <v>0.889763182456985</v>
      </c>
      <c r="T16" s="40" t="n">
        <f aca="false">SUMPRODUCT(Premissas!$C$42:$C$61,--(Premissas!$D$42:$D$61&lt;=B16))</f>
        <v>3395</v>
      </c>
      <c r="U16" s="40" t="n">
        <f aca="false">Premissas!$C$34*(1+Premissas!$C$35)^(B16-1)</f>
        <v>2015.87456901618</v>
      </c>
      <c r="V16" s="40" t="n">
        <f aca="false">D16*Premissas!$C$36*Premissas!$C$37</f>
        <v>32.2539931042589</v>
      </c>
      <c r="W16" s="40" t="n">
        <f aca="false">O16+P16+Q16+T16+U16+V16</f>
        <v>5694.36684942641</v>
      </c>
      <c r="X16" s="56" t="n">
        <f aca="false">L16-W16</f>
        <v>-3415.28901585296</v>
      </c>
      <c r="Y16" s="40" t="n">
        <f aca="false">N(Y15)+X16</f>
        <v>-36878.3729278333</v>
      </c>
      <c r="Z16" s="40" t="n">
        <f aca="false">IFERROR((U16+V16)/D16,0)</f>
        <v>381</v>
      </c>
      <c r="AA16" s="54" t="n">
        <f aca="false">IFERROR(T16/(R16/G16),0)</f>
        <v>62.5249704855051</v>
      </c>
      <c r="AB16" s="58" t="n">
        <f aca="false">D16*(1-Premissas!$C$23)*(1-Premissas!$C$24)</f>
        <v>4.11238412079301</v>
      </c>
      <c r="AC16" s="58" t="n">
        <f aca="false">D16*(1-Premissas!$C$23)*Premissas!$C$24</f>
        <v>0.456931568977002</v>
      </c>
      <c r="AD16" s="58" t="n">
        <f aca="false">D16*Premissas!$C$23*(1-Premissas!$C$24)</f>
        <v>0.725714844845826</v>
      </c>
      <c r="AE16" s="58" t="n">
        <f aca="false">D16*Premissas!$C$23*Premissas!$C$24</f>
        <v>0.0806349827606473</v>
      </c>
      <c r="AF16" s="58" t="n">
        <f aca="false">AC16+IF(B16&gt;12,INDEX($AC$6:$AC$29,B16-12)*Premissas!$C$22,0)</f>
        <v>0.456931568977002</v>
      </c>
      <c r="AG16" s="58" t="n">
        <f aca="false">AE16+IF(B16&gt;12,INDEX($AE$6:$AE$29,B16-12)*Premissas!$C$22,0)</f>
        <v>0.0806349827606473</v>
      </c>
      <c r="AH16" s="58" t="n">
        <f aca="false">IF(B16&gt;12,(INDEX($AC$6:$AC$29,B16-12)+INDEX($AE$6:$AE$29,B16-12))*(1-Premissas!$C$22),0)</f>
        <v>0</v>
      </c>
      <c r="AI16" s="58" t="n">
        <f aca="false">H16+J16+AF16+AG16</f>
        <v>32.7607244991862</v>
      </c>
      <c r="AJ16" s="59" t="str">
        <f aca="false">IF(X16&gt;0,B16,"")</f>
        <v/>
      </c>
      <c r="AK16" s="40" t="n">
        <f aca="false">H16*Premissas!$C$13+J16*Premissas!$C$14</f>
        <v>2010.72505592079</v>
      </c>
      <c r="AL16" s="40" t="n">
        <f aca="false">AF16*Premissas!$F$13+AG16*Premissas!$F$14</f>
        <v>337.897669859182</v>
      </c>
      <c r="AM16" s="40" t="n">
        <f aca="false">AK16+AL16</f>
        <v>2348.62272577997</v>
      </c>
      <c r="AN16" s="40" t="n">
        <f aca="false">AM16*Premissas!$C$30</f>
        <v>140.917363546798</v>
      </c>
      <c r="AO16" s="40" t="n">
        <f aca="false">AM16*Premissas!$C$28+AI16*Premissas!$C$29</f>
        <v>98.2545504069001</v>
      </c>
      <c r="AP16" s="40" t="n">
        <f aca="false">Q16</f>
        <v>18.6731381118872</v>
      </c>
      <c r="AQ16" s="40" t="n">
        <f aca="false">T16</f>
        <v>3395</v>
      </c>
      <c r="AR16" s="40" t="n">
        <f aca="false">U16+V16</f>
        <v>2048.12856212044</v>
      </c>
      <c r="AS16" s="40" t="n">
        <f aca="false">AN16+AO16+AP16+AQ16+AR16</f>
        <v>5700.97361418603</v>
      </c>
      <c r="AT16" s="56" t="n">
        <f aca="false">AM16-AS16</f>
        <v>-3352.35088840606</v>
      </c>
      <c r="AU16" s="56" t="n">
        <f aca="false">IF(B16=1,Premissas!$C$8,N(AU15))+AT16</f>
        <v>-35349.558268823</v>
      </c>
      <c r="AV16" s="40" t="n">
        <f aca="false">I16*Premissas!$F$13/12+K16*Premissas!$F$14/12</f>
        <v>268.35277765266</v>
      </c>
      <c r="AW16" s="40" t="n">
        <f aca="false">N(AW15)+AL16-AV16</f>
        <v>1689.29796575726</v>
      </c>
      <c r="AX16" s="1"/>
      <c r="AY16" s="51" t="n">
        <f aca="false">AY15+1</f>
        <v>11</v>
      </c>
      <c r="AZ16" s="52" t="n">
        <f aca="false">EDATE(Premissas!$C$7,AY16-1)</f>
        <v>46600</v>
      </c>
      <c r="BA16" s="53" t="n">
        <f aca="false">Premissas!$D$19*(1+Premissas!$D$20)^(AY16-1)</f>
        <v>15.7372108583165</v>
      </c>
      <c r="BB16" s="54" t="n">
        <f aca="false">IFERROR(BA16/Premissas!$D$25,0)</f>
        <v>78.6860542915827</v>
      </c>
      <c r="BC16" s="53" t="n">
        <f aca="false">(N(BE15)+N(BG15))*Premissas!$D$21+CE16</f>
        <v>3.64910511480317</v>
      </c>
      <c r="BD16" s="55" t="n">
        <f aca="false">BE16+BF16+BG16+BH16</f>
        <v>107.176524777624</v>
      </c>
      <c r="BE16" s="53" t="n">
        <f aca="false">N(BE15)*(1-Premissas!$D$21)+BY16</f>
        <v>61.442074400935</v>
      </c>
      <c r="BF16" s="53" t="n">
        <f aca="false">SUM(INDEX($CC$6:$CC$29,MAX(1,AY16-11)):INDEX($CC$6:$CC$29,AY16))</f>
        <v>18.9403191822829</v>
      </c>
      <c r="BG16" s="53" t="n">
        <f aca="false">N(BG15)*(1-Premissas!$D$21)+CA16</f>
        <v>20.4806914669783</v>
      </c>
      <c r="BH16" s="53" t="n">
        <f aca="false">SUM(INDEX($CD$6:$CD$29,MAX(1,AY16-11)):INDEX($CD$6:$CD$29,AY16))</f>
        <v>6.31343972742763</v>
      </c>
      <c r="BI16" s="56" t="n">
        <f aca="false">BE16*Premissas!$C$13+BF16*Premissas!$F$13/12+BG16*Premissas!$C$14+BH16*Premissas!$F$14/12</f>
        <v>6733.8577779503</v>
      </c>
      <c r="BJ16" s="40" t="n">
        <f aca="false">BI16*12</f>
        <v>80806.2933354036</v>
      </c>
      <c r="BK16" s="40" t="n">
        <f aca="false">IFERROR(BI16/BD16,0)</f>
        <v>62.8295962378151</v>
      </c>
      <c r="BL16" s="40" t="n">
        <f aca="false">BI16*Premissas!$C$30</f>
        <v>404.031466677018</v>
      </c>
      <c r="BM16" s="40" t="n">
        <f aca="false">BI16*Premissas!$C$28+CF16*Premissas!$C$29</f>
        <v>277.369424167653</v>
      </c>
      <c r="BN16" s="40" t="n">
        <f aca="false">BD16*Premissas!$C$31</f>
        <v>53.5882623888119</v>
      </c>
      <c r="BO16" s="40" t="n">
        <f aca="false">BI16-BL16-BM16-BN16</f>
        <v>5998.86862471681</v>
      </c>
      <c r="BP16" s="57" t="n">
        <f aca="false">IFERROR(BO16/BI16,0)</f>
        <v>0.890851696387148</v>
      </c>
      <c r="BQ16" s="40" t="n">
        <f aca="false">SUMPRODUCT(Premissas!$C$42:$C$61,--(Premissas!$D$42:$D$61&lt;=AY16))</f>
        <v>3395</v>
      </c>
      <c r="BR16" s="40" t="n">
        <f aca="false">Premissas!$C$34*(1+Premissas!$C$35)^(AY16-1)</f>
        <v>2015.87456901618</v>
      </c>
      <c r="BS16" s="40" t="n">
        <f aca="false">BA16*Premissas!$C$36*Premissas!$C$37</f>
        <v>94.4232651498992</v>
      </c>
      <c r="BT16" s="40" t="n">
        <f aca="false">BL16+BM16+BN16+BQ16+BR16+BS16</f>
        <v>6240.28698739957</v>
      </c>
      <c r="BU16" s="56" t="n">
        <f aca="false">BI16-BT16</f>
        <v>493.570790550732</v>
      </c>
      <c r="BV16" s="40" t="n">
        <f aca="false">N(BV15)+BU16</f>
        <v>-16566.6556373097</v>
      </c>
      <c r="BW16" s="40" t="n">
        <f aca="false">IFERROR((BR16+BS16)/BA16,0)</f>
        <v>134.096051273969</v>
      </c>
      <c r="BX16" s="54" t="n">
        <f aca="false">IFERROR(BQ16/(BO16/BD16),0)</f>
        <v>60.6554876232533</v>
      </c>
      <c r="BY16" s="58" t="n">
        <f aca="false">BA16*(1-Premissas!$D$23)*(1-Premissas!$D$24)</f>
        <v>9.44232651498992</v>
      </c>
      <c r="BZ16" s="58" t="n">
        <f aca="false">BA16*(1-Premissas!$D$23)*Premissas!$D$24</f>
        <v>2.36058162874748</v>
      </c>
      <c r="CA16" s="58" t="n">
        <f aca="false">BA16*Premissas!$D$23*(1-Premissas!$D$24)</f>
        <v>3.14744217166331</v>
      </c>
      <c r="CB16" s="58" t="n">
        <f aca="false">BA16*Premissas!$D$23*Premissas!$D$24</f>
        <v>0.786860542915827</v>
      </c>
      <c r="CC16" s="58" t="n">
        <f aca="false">BZ16+IF(AY16&gt;12,INDEX($BZ$6:$BZ$29,AY16-12)*Premissas!$D$22,0)</f>
        <v>2.36058162874748</v>
      </c>
      <c r="CD16" s="58" t="n">
        <f aca="false">CB16+IF(AY16&gt;12,INDEX($CB$6:$CB$29,AY16-12)*Premissas!$D$22,0)</f>
        <v>0.786860542915827</v>
      </c>
      <c r="CE16" s="58" t="n">
        <f aca="false">IF(AY16&gt;12,(INDEX($BZ$6:$BZ$29,AY16-12)+INDEX($CB$6:$CB$29,AY16-12))*(1-Premissas!$D$22),0)</f>
        <v>0</v>
      </c>
      <c r="CF16" s="58" t="n">
        <f aca="false">BE16+BG16+CC16+CD16</f>
        <v>85.0702080395767</v>
      </c>
      <c r="CG16" s="59" t="n">
        <f aca="false">IF(BU16&gt;0,AY16,"")</f>
        <v>11</v>
      </c>
      <c r="CH16" s="40" t="n">
        <f aca="false">BE16*Premissas!$C$13+BG16*Premissas!$C$14</f>
        <v>5357.74888776153</v>
      </c>
      <c r="CI16" s="40" t="n">
        <f aca="false">CC16*Premissas!$F$13+CD16*Premissas!$F$14</f>
        <v>2058.09669883978</v>
      </c>
      <c r="CJ16" s="40" t="n">
        <f aca="false">CH16+CI16</f>
        <v>7415.84558660131</v>
      </c>
      <c r="CK16" s="40" t="n">
        <f aca="false">CJ16*Premissas!$C$30</f>
        <v>444.950735196079</v>
      </c>
      <c r="CL16" s="40" t="n">
        <f aca="false">CJ16*Premissas!$C$28+CF16*Premissas!$C$29</f>
        <v>301.238997470439</v>
      </c>
      <c r="CM16" s="40" t="n">
        <f aca="false">BN16</f>
        <v>53.5882623888119</v>
      </c>
      <c r="CN16" s="40" t="n">
        <f aca="false">BQ16</f>
        <v>3395</v>
      </c>
      <c r="CO16" s="40" t="n">
        <f aca="false">BR16+BS16</f>
        <v>2110.29783416608</v>
      </c>
      <c r="CP16" s="40" t="n">
        <f aca="false">CK16+CL16+CM16+CN16+CO16</f>
        <v>6305.07582922141</v>
      </c>
      <c r="CQ16" s="56" t="n">
        <f aca="false">CJ16-CP16</f>
        <v>1110.7697573799</v>
      </c>
      <c r="CR16" s="56" t="n">
        <f aca="false">IF(AY16=1,Premissas!$C$8,N(CR15))+CQ16</f>
        <v>-8259.51900149244</v>
      </c>
      <c r="CS16" s="40" t="n">
        <f aca="false">BF16*Premissas!$F$13/12+BH16*Premissas!$F$14/12</f>
        <v>1376.10889018876</v>
      </c>
      <c r="CT16" s="40" t="n">
        <f aca="false">N(CT15)+CI16-CS16</f>
        <v>9179.1565036655</v>
      </c>
      <c r="CU16" s="1"/>
      <c r="CV16" s="51" t="n">
        <f aca="false">CV15+1</f>
        <v>11</v>
      </c>
      <c r="CW16" s="52" t="n">
        <f aca="false">EDATE(Premissas!$C$7,CV16-1)</f>
        <v>46600</v>
      </c>
      <c r="CX16" s="53" t="n">
        <f aca="false">Premissas!$E$19*(1+Premissas!$E$20)^(CV16-1)</f>
        <v>46.5877231251632</v>
      </c>
      <c r="CY16" s="54" t="n">
        <f aca="false">IFERROR(CX16/Premissas!$E$25,0)</f>
        <v>155.292410417211</v>
      </c>
      <c r="CZ16" s="53" t="n">
        <f aca="false">(N(DB15)+N(DD15))*Premissas!$E$21+EB16</f>
        <v>4.97369057104349</v>
      </c>
      <c r="DA16" s="55" t="n">
        <f aca="false">DB16+DC16+DD16+DE16</f>
        <v>286.373026068477</v>
      </c>
      <c r="DB16" s="53" t="n">
        <f aca="false">N(DB15)*(1-Premissas!$E$21)+DV16</f>
        <v>125.727810856713</v>
      </c>
      <c r="DC16" s="53" t="n">
        <f aca="false">SUM(INDEX($DZ$6:$DZ$29,MAX(1,CV16-11)):INDEX($DZ$6:$DZ$29,CV16))</f>
        <v>60.4146560877969</v>
      </c>
      <c r="DD16" s="53" t="n">
        <f aca="false">N(DD15)*(1-Premissas!$E$21)+DX16</f>
        <v>67.6995904613072</v>
      </c>
      <c r="DE16" s="53" t="n">
        <f aca="false">SUM(INDEX($EA$6:$EA$29,MAX(1,CV16-11)):INDEX($EA$6:$EA$29,CV16))</f>
        <v>32.5309686626599</v>
      </c>
      <c r="DF16" s="56" t="n">
        <f aca="false">DB16*Premissas!$C$13+DC16*Premissas!$F$13/12+DD16*Premissas!$C$14+DE16*Premissas!$F$14/12</f>
        <v>18491.3192658718</v>
      </c>
      <c r="DG16" s="40" t="n">
        <f aca="false">DF16*12</f>
        <v>221895.831190461</v>
      </c>
      <c r="DH16" s="40" t="n">
        <f aca="false">IFERROR(DF16/DA16,0)</f>
        <v>64.5707436895615</v>
      </c>
      <c r="DI16" s="40" t="n">
        <f aca="false">DF16*Premissas!$C$30</f>
        <v>1109.47915595231</v>
      </c>
      <c r="DJ16" s="40" t="n">
        <f aca="false">DF16*Premissas!$C$28+EC16*Premissas!$C$29</f>
        <v>748.823996250741</v>
      </c>
      <c r="DK16" s="40" t="n">
        <f aca="false">DA16*Premissas!$C$31</f>
        <v>143.186513034239</v>
      </c>
      <c r="DL16" s="40" t="n">
        <f aca="false">DF16-DI16-DJ16-DK16</f>
        <v>16489.8296006345</v>
      </c>
      <c r="DM16" s="57" t="n">
        <f aca="false">IFERROR(DL16/DF16,0)</f>
        <v>0.891760580385884</v>
      </c>
      <c r="DN16" s="40" t="n">
        <f aca="false">SUMPRODUCT(Premissas!$C$42:$C$61,--(Premissas!$D$42:$D$61&lt;=CV16))</f>
        <v>3395</v>
      </c>
      <c r="DO16" s="40" t="n">
        <f aca="false">Premissas!$C$34*(1+Premissas!$C$35)^(CV16-1)</f>
        <v>2015.87456901618</v>
      </c>
      <c r="DP16" s="40" t="n">
        <f aca="false">CX16*Premissas!$C$36*Premissas!$C$37</f>
        <v>279.526338750979</v>
      </c>
      <c r="DQ16" s="40" t="n">
        <f aca="false">DI16+DJ16+DK16+DN16+DO16+DP16</f>
        <v>7691.89057300445</v>
      </c>
      <c r="DR16" s="56" t="n">
        <f aca="false">DF16-DQ16</f>
        <v>10799.4286928673</v>
      </c>
      <c r="DS16" s="40" t="n">
        <f aca="false">N(DS15)+DR16</f>
        <v>31204.4017171104</v>
      </c>
      <c r="DT16" s="40" t="n">
        <f aca="false">IFERROR((DO16+DP16)/CX16,0)</f>
        <v>49.2705106364677</v>
      </c>
      <c r="DU16" s="54" t="n">
        <f aca="false">IFERROR(DN16/(DL16/DA16),0)</f>
        <v>58.9597616863834</v>
      </c>
      <c r="DV16" s="58" t="n">
        <f aca="false">CX16*(1-Premissas!$E$23)*(1-Premissas!$E$24)</f>
        <v>21.1974140219492</v>
      </c>
      <c r="DW16" s="58" t="n">
        <f aca="false">CX16*(1-Premissas!$E$23)*Premissas!$E$24</f>
        <v>9.08460600940682</v>
      </c>
      <c r="DX16" s="58" t="n">
        <f aca="false">CX16*Premissas!$E$23*(1-Premissas!$E$24)</f>
        <v>11.413992165665</v>
      </c>
      <c r="DY16" s="58" t="n">
        <f aca="false">CX16*Premissas!$E$23*Premissas!$E$24</f>
        <v>4.89171092814213</v>
      </c>
      <c r="DZ16" s="58" t="n">
        <f aca="false">DW16+IF(CV16&gt;12,INDEX($DW$6:$DW$29,CV16-12)*Premissas!$E$22,0)</f>
        <v>9.08460600940682</v>
      </c>
      <c r="EA16" s="58" t="n">
        <f aca="false">DY16+IF(CV16&gt;12,INDEX($DY$6:$DY$29,CV16-12)*Premissas!$E$22,0)</f>
        <v>4.89171092814213</v>
      </c>
      <c r="EB16" s="58" t="n">
        <f aca="false">IF(CV16&gt;12,(INDEX($DW$6:$DW$29,CV16-12)+INDEX($DY$6:$DY$29,CV16-12))*(1-Premissas!$E$22),0)</f>
        <v>0</v>
      </c>
      <c r="EC16" s="58" t="n">
        <f aca="false">DB16+DD16+DZ16+EA16</f>
        <v>207.403718255569</v>
      </c>
      <c r="ED16" s="59" t="n">
        <f aca="false">IF(DR16&gt;0,CV16,"")</f>
        <v>11</v>
      </c>
      <c r="EE16" s="40" t="n">
        <f aca="false">DB16*Premissas!$C$13+DD16*Premissas!$C$14</f>
        <v>13230.4342501526</v>
      </c>
      <c r="EF16" s="40" t="n">
        <f aca="false">DZ16*Premissas!$F$13+EA16*Premissas!$F$14</f>
        <v>9493.00796663894</v>
      </c>
      <c r="EG16" s="40" t="n">
        <f aca="false">EE16+EF16</f>
        <v>22723.4422167915</v>
      </c>
      <c r="EH16" s="40" t="n">
        <f aca="false">EG16*Premissas!$C$30</f>
        <v>1363.40653300749</v>
      </c>
      <c r="EI16" s="40" t="n">
        <f aca="false">EG16*Premissas!$C$28+EC16*Premissas!$C$29</f>
        <v>896.948299532933</v>
      </c>
      <c r="EJ16" s="40" t="n">
        <f aca="false">DK16</f>
        <v>143.186513034239</v>
      </c>
      <c r="EK16" s="40" t="n">
        <f aca="false">DN16</f>
        <v>3395</v>
      </c>
      <c r="EL16" s="40" t="n">
        <f aca="false">DO16+DP16</f>
        <v>2295.40090776716</v>
      </c>
      <c r="EM16" s="40" t="n">
        <f aca="false">EH16+EI16+EJ16+EK16+EL16</f>
        <v>8093.94225334183</v>
      </c>
      <c r="EN16" s="56" t="n">
        <f aca="false">EG16-EM16</f>
        <v>14629.4999634497</v>
      </c>
      <c r="EO16" s="56" t="n">
        <f aca="false">IF(CV16=1,Premissas!$C$8,N(EO15))+EN16</f>
        <v>65030.8116852544</v>
      </c>
      <c r="EP16" s="40" t="n">
        <f aca="false">DC16*Premissas!$F$13/12+DE16*Premissas!$F$14/12</f>
        <v>5260.88501571917</v>
      </c>
      <c r="EQ16" s="40" t="n">
        <f aca="false">N(EQ15)+EF16-EP16</f>
        <v>37377.2485835845</v>
      </c>
      <c r="ER16" s="1"/>
      <c r="ES16" s="1"/>
      <c r="ET16" s="1"/>
      <c r="EU16" s="1"/>
      <c r="EV16" s="1"/>
      <c r="EW16" s="1"/>
      <c r="EX16" s="1"/>
      <c r="EY16" s="1"/>
    </row>
    <row r="17" customFormat="false" ht="15" hidden="false" customHeight="false" outlineLevel="0" collapsed="false">
      <c r="A17" s="1"/>
      <c r="B17" s="51" t="n">
        <f aca="false">B16+1</f>
        <v>12</v>
      </c>
      <c r="C17" s="52" t="n">
        <f aca="false">EDATE(Premissas!$C$7,B17-1)</f>
        <v>46631</v>
      </c>
      <c r="D17" s="53" t="n">
        <f aca="false">Premissas!$C$19*(1+Premissas!$C$20)^(B17-1)</f>
        <v>5.53693548289778</v>
      </c>
      <c r="E17" s="54" t="n">
        <f aca="false">IFERROR(D17/Premissas!$C$25,0)</f>
        <v>55.3693548289778</v>
      </c>
      <c r="F17" s="53" t="n">
        <f aca="false">(N(H16)+N(J16))*Premissas!$C$21+AH17</f>
        <v>2.57785263579588</v>
      </c>
      <c r="G17" s="55" t="n">
        <f aca="false">H17+I17+J17+K17</f>
        <v>40.3053590708764</v>
      </c>
      <c r="H17" s="53" t="n">
        <f aca="false">N(H16)*(1-Premissas!$C$21)+AB17</f>
        <v>29.4342651593215</v>
      </c>
      <c r="I17" s="53" t="n">
        <f aca="false">SUM(INDEX($AF$6:$AF$29,MAX(1,B17-11)):INDEX($AF$6:$AF$29,B17))</f>
        <v>4.82529005092336</v>
      </c>
      <c r="J17" s="53" t="n">
        <f aca="false">N(J16)*(1-Premissas!$C$21)+AD17</f>
        <v>5.19428208693909</v>
      </c>
      <c r="K17" s="53" t="n">
        <f aca="false">SUM(INDEX($AG$6:$AG$29,MAX(1,B17-11)):INDEX($AG$6:$AG$29,B17))</f>
        <v>0.851521773692358</v>
      </c>
      <c r="L17" s="56" t="n">
        <f aca="false">H17*Premissas!$C$13+I17*Premissas!$F$13/12+J17*Premissas!$C$14+K17*Premissas!$F$14/12</f>
        <v>2458.1770091489</v>
      </c>
      <c r="M17" s="40" t="n">
        <f aca="false">L17*12</f>
        <v>29498.1241097868</v>
      </c>
      <c r="N17" s="40" t="n">
        <f aca="false">IFERROR(L17/G17,0)</f>
        <v>60.9888378571752</v>
      </c>
      <c r="O17" s="40" t="n">
        <f aca="false">L17*Premissas!$C$30</f>
        <v>147.490620548934</v>
      </c>
      <c r="P17" s="40" t="n">
        <f aca="false">L17*Premissas!$C$28+AI17*Premissas!$C$29</f>
        <v>103.275493309541</v>
      </c>
      <c r="Q17" s="40" t="n">
        <f aca="false">G17*Premissas!$C$31</f>
        <v>20.1526795354382</v>
      </c>
      <c r="R17" s="40" t="n">
        <f aca="false">L17-O17-P17-Q17</f>
        <v>2187.25821575499</v>
      </c>
      <c r="S17" s="57" t="n">
        <f aca="false">IFERROR(R17/L17,0)</f>
        <v>0.889788736781118</v>
      </c>
      <c r="T17" s="40" t="n">
        <f aca="false">SUMPRODUCT(Premissas!$C$42:$C$61,--(Premissas!$D$42:$D$61&lt;=B17))</f>
        <v>3395</v>
      </c>
      <c r="U17" s="40" t="n">
        <f aca="false">Premissas!$C$34*(1+Premissas!$C$35)^(B17-1)</f>
        <v>2076.35080608667</v>
      </c>
      <c r="V17" s="40" t="n">
        <f aca="false">D17*Premissas!$C$36*Premissas!$C$37</f>
        <v>33.2216128973867</v>
      </c>
      <c r="W17" s="40" t="n">
        <f aca="false">O17+P17+Q17+T17+U17+V17</f>
        <v>5775.49121237797</v>
      </c>
      <c r="X17" s="56" t="n">
        <f aca="false">L17-W17</f>
        <v>-3317.31420322907</v>
      </c>
      <c r="Y17" s="40" t="n">
        <f aca="false">N(Y16)+X17</f>
        <v>-40195.6871310623</v>
      </c>
      <c r="Z17" s="40" t="n">
        <f aca="false">IFERROR((U17+V17)/D17,0)</f>
        <v>381</v>
      </c>
      <c r="AA17" s="54" t="n">
        <f aca="false">IFERROR(T17/(R17/G17),0)</f>
        <v>62.5608321230571</v>
      </c>
      <c r="AB17" s="58" t="n">
        <f aca="false">D17*(1-Premissas!$C$23)*(1-Premissas!$C$24)</f>
        <v>4.2357556444168</v>
      </c>
      <c r="AC17" s="58" t="n">
        <f aca="false">D17*(1-Premissas!$C$23)*Premissas!$C$24</f>
        <v>0.470639516046312</v>
      </c>
      <c r="AD17" s="58" t="n">
        <f aca="false">D17*Premissas!$C$23*(1-Premissas!$C$24)</f>
        <v>0.747486290191201</v>
      </c>
      <c r="AE17" s="58" t="n">
        <f aca="false">D17*Premissas!$C$23*Premissas!$C$24</f>
        <v>0.0830540322434668</v>
      </c>
      <c r="AF17" s="58" t="n">
        <f aca="false">AC17+IF(B17&gt;12,INDEX($AC$6:$AC$29,B17-12)*Premissas!$C$22,0)</f>
        <v>0.470639516046312</v>
      </c>
      <c r="AG17" s="58" t="n">
        <f aca="false">AE17+IF(B17&gt;12,INDEX($AE$6:$AE$29,B17-12)*Premissas!$C$22,0)</f>
        <v>0.0830540322434668</v>
      </c>
      <c r="AH17" s="58" t="n">
        <f aca="false">IF(B17&gt;12,(INDEX($AC$6:$AC$29,B17-12)+INDEX($AE$6:$AE$29,B17-12))*(1-Premissas!$C$22),0)</f>
        <v>0</v>
      </c>
      <c r="AI17" s="58" t="n">
        <f aca="false">H17+J17+AF17+AG17</f>
        <v>35.1822407945504</v>
      </c>
      <c r="AJ17" s="59" t="str">
        <f aca="false">IF(X17&gt;0,B17,"")</f>
        <v/>
      </c>
      <c r="AK17" s="40" t="n">
        <f aca="false">H17*Premissas!$C$13+J17*Premissas!$C$14</f>
        <v>2160.82134816666</v>
      </c>
      <c r="AL17" s="40" t="n">
        <f aca="false">AF17*Premissas!$F$13+AG17*Premissas!$F$14</f>
        <v>348.034599954958</v>
      </c>
      <c r="AM17" s="40" t="n">
        <f aca="false">AK17+AL17</f>
        <v>2508.85594812162</v>
      </c>
      <c r="AN17" s="40" t="n">
        <f aca="false">AM17*Premissas!$C$30</f>
        <v>150.531356887297</v>
      </c>
      <c r="AO17" s="40" t="n">
        <f aca="false">AM17*Premissas!$C$28+AI17*Premissas!$C$29</f>
        <v>105.049256173586</v>
      </c>
      <c r="AP17" s="40" t="n">
        <f aca="false">Q17</f>
        <v>20.1526795354382</v>
      </c>
      <c r="AQ17" s="40" t="n">
        <f aca="false">T17</f>
        <v>3395</v>
      </c>
      <c r="AR17" s="40" t="n">
        <f aca="false">U17+V17</f>
        <v>2109.57241898406</v>
      </c>
      <c r="AS17" s="40" t="n">
        <f aca="false">AN17+AO17+AP17+AQ17+AR17</f>
        <v>5780.30571158038</v>
      </c>
      <c r="AT17" s="56" t="n">
        <f aca="false">AM17-AS17</f>
        <v>-3271.44976345876</v>
      </c>
      <c r="AU17" s="56" t="n">
        <f aca="false">IF(B17=1,Premissas!$C$8,N(AU16))+AT17</f>
        <v>-38621.0080322817</v>
      </c>
      <c r="AV17" s="40" t="n">
        <f aca="false">I17*Premissas!$F$13/12+K17*Premissas!$F$14/12</f>
        <v>297.35566098224</v>
      </c>
      <c r="AW17" s="40" t="n">
        <f aca="false">N(AW16)+AL17-AV17</f>
        <v>1739.97690472998</v>
      </c>
      <c r="AX17" s="1"/>
      <c r="AY17" s="51" t="n">
        <f aca="false">AY16+1</f>
        <v>12</v>
      </c>
      <c r="AZ17" s="52" t="n">
        <f aca="false">EDATE(Premissas!$C$7,AY17-1)</f>
        <v>46631</v>
      </c>
      <c r="BA17" s="53" t="n">
        <f aca="false">Premissas!$D$19*(1+Premissas!$D$20)^(AY17-1)</f>
        <v>16.8388156183987</v>
      </c>
      <c r="BB17" s="54" t="n">
        <f aca="false">IFERROR(BA17/Premissas!$D$25,0)</f>
        <v>84.1940780919935</v>
      </c>
      <c r="BC17" s="53" t="n">
        <f aca="false">(N(BE16)+N(BG16))*Premissas!$D$21+CE17</f>
        <v>4.09613829339567</v>
      </c>
      <c r="BD17" s="55" t="n">
        <f aca="false">BE17+BF17+BG17+BH17</f>
        <v>119.919202102627</v>
      </c>
      <c r="BE17" s="53" t="n">
        <f aca="false">N(BE16)*(1-Premissas!$D$21)+BY17</f>
        <v>68.4732600519275</v>
      </c>
      <c r="BF17" s="53" t="n">
        <f aca="false">SUM(INDEX($CC$6:$CC$29,MAX(1,AY17-11)):INDEX($CC$6:$CC$29,AY17))</f>
        <v>21.4661415250427</v>
      </c>
      <c r="BG17" s="53" t="n">
        <f aca="false">N(BG16)*(1-Premissas!$D$21)+CA17</f>
        <v>22.8244200173092</v>
      </c>
      <c r="BH17" s="53" t="n">
        <f aca="false">SUM(INDEX($CD$6:$CD$29,MAX(1,AY17-11)):INDEX($CD$6:$CD$29,AY17))</f>
        <v>7.15538050834756</v>
      </c>
      <c r="BI17" s="56" t="n">
        <f aca="false">BE17*Premissas!$C$13+BF17*Premissas!$F$13/12+BG17*Premissas!$C$14+BH17*Premissas!$F$14/12</f>
        <v>7530.49078903005</v>
      </c>
      <c r="BJ17" s="40" t="n">
        <f aca="false">BI17*12</f>
        <v>90365.8894683606</v>
      </c>
      <c r="BK17" s="40" t="n">
        <f aca="false">IFERROR(BI17/BD17,0)</f>
        <v>62.7963716985496</v>
      </c>
      <c r="BL17" s="40" t="n">
        <f aca="false">BI17*Premissas!$C$30</f>
        <v>451.829447341803</v>
      </c>
      <c r="BM17" s="40" t="n">
        <f aca="false">BI17*Premissas!$C$28+CF17*Premissas!$C$29</f>
        <v>309.953244780581</v>
      </c>
      <c r="BN17" s="40" t="n">
        <f aca="false">BD17*Premissas!$C$31</f>
        <v>59.9596010513135</v>
      </c>
      <c r="BO17" s="40" t="n">
        <f aca="false">BI17-BL17-BM17-BN17</f>
        <v>6708.74849585636</v>
      </c>
      <c r="BP17" s="57" t="n">
        <f aca="false">IFERROR(BO17/BI17,0)</f>
        <v>0.890877989735973</v>
      </c>
      <c r="BQ17" s="40" t="n">
        <f aca="false">SUMPRODUCT(Premissas!$C$42:$C$61,--(Premissas!$D$42:$D$61&lt;=AY17))</f>
        <v>3395</v>
      </c>
      <c r="BR17" s="40" t="n">
        <f aca="false">Premissas!$C$34*(1+Premissas!$C$35)^(AY17-1)</f>
        <v>2076.35080608667</v>
      </c>
      <c r="BS17" s="40" t="n">
        <f aca="false">BA17*Premissas!$C$36*Premissas!$C$37</f>
        <v>101.032893710392</v>
      </c>
      <c r="BT17" s="40" t="n">
        <f aca="false">BL17+BM17+BN17+BQ17+BR17+BS17</f>
        <v>6394.12599297076</v>
      </c>
      <c r="BU17" s="56" t="n">
        <f aca="false">BI17-BT17</f>
        <v>1136.36479605929</v>
      </c>
      <c r="BV17" s="40" t="n">
        <f aca="false">N(BV16)+BU17</f>
        <v>-15430.2908412504</v>
      </c>
      <c r="BW17" s="40" t="n">
        <f aca="false">IFERROR((BR17+BS17)/BA17,0)</f>
        <v>129.307413843167</v>
      </c>
      <c r="BX17" s="54" t="n">
        <f aca="false">IFERROR(BQ17/(BO17/BD17),0)</f>
        <v>60.685788323989</v>
      </c>
      <c r="BY17" s="58" t="n">
        <f aca="false">BA17*(1-Premissas!$D$23)*(1-Premissas!$D$24)</f>
        <v>10.1032893710392</v>
      </c>
      <c r="BZ17" s="58" t="n">
        <f aca="false">BA17*(1-Premissas!$D$23)*Premissas!$D$24</f>
        <v>2.5258223427598</v>
      </c>
      <c r="CA17" s="58" t="n">
        <f aca="false">BA17*Premissas!$D$23*(1-Premissas!$D$24)</f>
        <v>3.36776312367974</v>
      </c>
      <c r="CB17" s="58" t="n">
        <f aca="false">BA17*Premissas!$D$23*Premissas!$D$24</f>
        <v>0.841940780919935</v>
      </c>
      <c r="CC17" s="58" t="n">
        <f aca="false">BZ17+IF(AY17&gt;12,INDEX($BZ$6:$BZ$29,AY17-12)*Premissas!$D$22,0)</f>
        <v>2.5258223427598</v>
      </c>
      <c r="CD17" s="58" t="n">
        <f aca="false">CB17+IF(AY17&gt;12,INDEX($CB$6:$CB$29,AY17-12)*Premissas!$D$22,0)</f>
        <v>0.841940780919935</v>
      </c>
      <c r="CE17" s="58" t="n">
        <f aca="false">IF(AY17&gt;12,(INDEX($BZ$6:$BZ$29,AY17-12)+INDEX($CB$6:$CB$29,AY17-12))*(1-Premissas!$D$22),0)</f>
        <v>0</v>
      </c>
      <c r="CF17" s="58" t="n">
        <f aca="false">BE17+BG17+CC17+CD17</f>
        <v>94.6654431929164</v>
      </c>
      <c r="CG17" s="59" t="n">
        <f aca="false">IF(BU17&gt;0,AY17,"")</f>
        <v>12</v>
      </c>
      <c r="CH17" s="40" t="n">
        <f aca="false">BE17*Premissas!$C$13+BG17*Premissas!$C$14</f>
        <v>5970.86827652808</v>
      </c>
      <c r="CI17" s="40" t="n">
        <f aca="false">CC17*Premissas!$F$13+CD17*Premissas!$F$14</f>
        <v>2202.16346775856</v>
      </c>
      <c r="CJ17" s="40" t="n">
        <f aca="false">CH17+CI17</f>
        <v>8173.03174428664</v>
      </c>
      <c r="CK17" s="40" t="n">
        <f aca="false">CJ17*Premissas!$C$30</f>
        <v>490.381904657198</v>
      </c>
      <c r="CL17" s="40" t="n">
        <f aca="false">CJ17*Premissas!$C$28+CF17*Premissas!$C$29</f>
        <v>332.442178214561</v>
      </c>
      <c r="CM17" s="40" t="n">
        <f aca="false">BN17</f>
        <v>59.9596010513135</v>
      </c>
      <c r="CN17" s="40" t="n">
        <f aca="false">BQ17</f>
        <v>3395</v>
      </c>
      <c r="CO17" s="40" t="n">
        <f aca="false">BR17+BS17</f>
        <v>2177.38369979706</v>
      </c>
      <c r="CP17" s="40" t="n">
        <f aca="false">CK17+CL17+CM17+CN17+CO17</f>
        <v>6455.16738372013</v>
      </c>
      <c r="CQ17" s="56" t="n">
        <f aca="false">CJ17-CP17</f>
        <v>1717.8643605665</v>
      </c>
      <c r="CR17" s="56" t="n">
        <f aca="false">IF(AY17=1,Premissas!$C$8,N(CR16))+CQ17</f>
        <v>-6541.65464092594</v>
      </c>
      <c r="CS17" s="40" t="n">
        <f aca="false">BF17*Premissas!$F$13/12+BH17*Premissas!$F$14/12</f>
        <v>1559.62251250198</v>
      </c>
      <c r="CT17" s="40" t="n">
        <f aca="false">N(CT16)+CI17-CS17</f>
        <v>9821.69745892208</v>
      </c>
      <c r="CU17" s="1"/>
      <c r="CV17" s="51" t="n">
        <f aca="false">CV16+1</f>
        <v>12</v>
      </c>
      <c r="CW17" s="52" t="n">
        <f aca="false">EDATE(Premissas!$C$7,CV17-1)</f>
        <v>46631</v>
      </c>
      <c r="CX17" s="53" t="n">
        <f aca="false">Premissas!$E$19*(1+Premissas!$E$20)^(CV17-1)</f>
        <v>52.1782499001828</v>
      </c>
      <c r="CY17" s="54" t="n">
        <f aca="false">IFERROR(CX17/Premissas!$E$25,0)</f>
        <v>173.927499667276</v>
      </c>
      <c r="CZ17" s="53" t="n">
        <f aca="false">(N(DB16)+N(DD16))*Premissas!$E$21+EB17</f>
        <v>5.80282203954061</v>
      </c>
      <c r="DA17" s="55" t="n">
        <f aca="false">DB17+DC17+DD17+DE17</f>
        <v>332.748453929119</v>
      </c>
      <c r="DB17" s="53" t="n">
        <f aca="false">N(DB16)*(1-Premissas!$E$21)+DV17</f>
        <v>145.697080235595</v>
      </c>
      <c r="DC17" s="53" t="n">
        <f aca="false">SUM(INDEX($DZ$6:$DZ$29,MAX(1,CV17-11)):INDEX($DZ$6:$DZ$29,CV17))</f>
        <v>70.5894148183326</v>
      </c>
      <c r="DD17" s="53" t="n">
        <f aca="false">N(DD16)*(1-Premissas!$E$21)+DX17</f>
        <v>78.4522739730127</v>
      </c>
      <c r="DE17" s="53" t="n">
        <f aca="false">SUM(INDEX($EA$6:$EA$29,MAX(1,CV17-11)):INDEX($EA$6:$EA$29,CV17))</f>
        <v>38.0096849021791</v>
      </c>
      <c r="DF17" s="56" t="n">
        <f aca="false">DB17*Premissas!$C$13+DC17*Premissas!$F$13/12+DD17*Premissas!$C$14+DE17*Premissas!$F$14/12</f>
        <v>21478.7149204742</v>
      </c>
      <c r="DG17" s="40" t="n">
        <f aca="false">DF17*12</f>
        <v>257744.579045691</v>
      </c>
      <c r="DH17" s="40" t="n">
        <f aca="false">IFERROR(DF17/DA17,0)</f>
        <v>64.5494056151183</v>
      </c>
      <c r="DI17" s="40" t="n">
        <f aca="false">DF17*Premissas!$C$30</f>
        <v>1288.72289522845</v>
      </c>
      <c r="DJ17" s="40" t="n">
        <f aca="false">DF17*Premissas!$C$28+EC17*Premissas!$C$29</f>
        <v>869.258408514143</v>
      </c>
      <c r="DK17" s="40" t="n">
        <f aca="false">DA17*Premissas!$C$31</f>
        <v>166.37422696456</v>
      </c>
      <c r="DL17" s="40" t="n">
        <f aca="false">DF17-DI17-DJ17-DK17</f>
        <v>19154.3593897671</v>
      </c>
      <c r="DM17" s="57" t="n">
        <f aca="false">IFERROR(DL17/DF17,0)</f>
        <v>0.891783305504395</v>
      </c>
      <c r="DN17" s="40" t="n">
        <f aca="false">SUMPRODUCT(Premissas!$C$42:$C$61,--(Premissas!$D$42:$D$61&lt;=CV17))</f>
        <v>3395</v>
      </c>
      <c r="DO17" s="40" t="n">
        <f aca="false">Premissas!$C$34*(1+Premissas!$C$35)^(CV17-1)</f>
        <v>2076.35080608667</v>
      </c>
      <c r="DP17" s="40" t="n">
        <f aca="false">CX17*Premissas!$C$36*Premissas!$C$37</f>
        <v>313.069499401097</v>
      </c>
      <c r="DQ17" s="40" t="n">
        <f aca="false">DI17+DJ17+DK17+DN17+DO17+DP17</f>
        <v>8108.77583619492</v>
      </c>
      <c r="DR17" s="56" t="n">
        <f aca="false">DF17-DQ17</f>
        <v>13369.9390842793</v>
      </c>
      <c r="DS17" s="40" t="n">
        <f aca="false">N(DS16)+DR17</f>
        <v>44574.3408013897</v>
      </c>
      <c r="DT17" s="40" t="n">
        <f aca="false">IFERROR((DO17+DP17)/CX17,0)</f>
        <v>45.7934160317515</v>
      </c>
      <c r="DU17" s="54" t="n">
        <f aca="false">IFERROR(DN17/(DL17/DA17),0)</f>
        <v>58.9777490388363</v>
      </c>
      <c r="DV17" s="58" t="n">
        <f aca="false">CX17*(1-Premissas!$E$23)*(1-Premissas!$E$24)</f>
        <v>23.7411037045832</v>
      </c>
      <c r="DW17" s="58" t="n">
        <f aca="false">CX17*(1-Premissas!$E$23)*Premissas!$E$24</f>
        <v>10.1747587305356</v>
      </c>
      <c r="DX17" s="58" t="n">
        <f aca="false">CX17*Premissas!$E$23*(1-Premissas!$E$24)</f>
        <v>12.7836712255448</v>
      </c>
      <c r="DY17" s="58" t="n">
        <f aca="false">CX17*Premissas!$E$23*Premissas!$E$24</f>
        <v>5.47871623951919</v>
      </c>
      <c r="DZ17" s="58" t="n">
        <f aca="false">DW17+IF(CV17&gt;12,INDEX($DW$6:$DW$29,CV17-12)*Premissas!$E$22,0)</f>
        <v>10.1747587305356</v>
      </c>
      <c r="EA17" s="58" t="n">
        <f aca="false">DY17+IF(CV17&gt;12,INDEX($DY$6:$DY$29,CV17-12)*Premissas!$E$22,0)</f>
        <v>5.47871623951919</v>
      </c>
      <c r="EB17" s="58" t="n">
        <f aca="false">IF(CV17&gt;12,(INDEX($DW$6:$DW$29,CV17-12)+INDEX($DY$6:$DY$29,CV17-12))*(1-Premissas!$E$22),0)</f>
        <v>0</v>
      </c>
      <c r="EC17" s="58" t="n">
        <f aca="false">DB17+DD17+DZ17+EA17</f>
        <v>239.802829178663</v>
      </c>
      <c r="ED17" s="59" t="n">
        <f aca="false">IF(DR17&gt;0,CV17,"")</f>
        <v>12</v>
      </c>
      <c r="EE17" s="40" t="n">
        <f aca="false">DB17*Premissas!$C$13+DD17*Premissas!$C$14</f>
        <v>15331.8158278688</v>
      </c>
      <c r="EF17" s="40" t="n">
        <f aca="false">DZ17*Premissas!$F$13+EA17*Premissas!$F$14</f>
        <v>10632.1689226356</v>
      </c>
      <c r="EG17" s="40" t="n">
        <f aca="false">EE17+EF17</f>
        <v>25963.9847505044</v>
      </c>
      <c r="EH17" s="40" t="n">
        <f aca="false">EG17*Premissas!$C$30</f>
        <v>1557.83908503026</v>
      </c>
      <c r="EI17" s="40" t="n">
        <f aca="false">EG17*Premissas!$C$28+EC17*Premissas!$C$29</f>
        <v>1026.2428525652</v>
      </c>
      <c r="EJ17" s="40" t="n">
        <f aca="false">DK17</f>
        <v>166.37422696456</v>
      </c>
      <c r="EK17" s="40" t="n">
        <f aca="false">DN17</f>
        <v>3395</v>
      </c>
      <c r="EL17" s="40" t="n">
        <f aca="false">DO17+DP17</f>
        <v>2389.42030548777</v>
      </c>
      <c r="EM17" s="40" t="n">
        <f aca="false">EH17+EI17+EJ17+EK17+EL17</f>
        <v>8534.87647004779</v>
      </c>
      <c r="EN17" s="56" t="n">
        <f aca="false">EG17-EM17</f>
        <v>17429.1082804566</v>
      </c>
      <c r="EO17" s="56" t="n">
        <f aca="false">IF(CV17=1,Premissas!$C$8,N(EO16))+EN17</f>
        <v>82459.919965711</v>
      </c>
      <c r="EP17" s="40" t="n">
        <f aca="false">DC17*Premissas!$F$13/12+DE17*Premissas!$F$14/12</f>
        <v>6146.89909260547</v>
      </c>
      <c r="EQ17" s="40" t="n">
        <f aca="false">N(EQ16)+EF17-EP17</f>
        <v>41862.5184136146</v>
      </c>
      <c r="ER17" s="1"/>
      <c r="ES17" s="1"/>
      <c r="ET17" s="1"/>
      <c r="EU17" s="1"/>
      <c r="EV17" s="1"/>
      <c r="EW17" s="1"/>
      <c r="EX17" s="1"/>
      <c r="EY17" s="1"/>
    </row>
    <row r="18" customFormat="false" ht="15" hidden="false" customHeight="false" outlineLevel="0" collapsed="false">
      <c r="A18" s="1"/>
      <c r="B18" s="51" t="n">
        <f aca="false">B17+1</f>
        <v>13</v>
      </c>
      <c r="C18" s="52" t="n">
        <f aca="false">EDATE(Premissas!$C$7,B18-1)</f>
        <v>46661</v>
      </c>
      <c r="D18" s="53" t="n">
        <f aca="false">Premissas!$C$19*(1+Premissas!$C$20)^(B18-1)</f>
        <v>5.70304354738472</v>
      </c>
      <c r="E18" s="54" t="n">
        <f aca="false">IFERROR(D18/Premissas!$C$25,0)</f>
        <v>57.0304354738472</v>
      </c>
      <c r="F18" s="53" t="n">
        <f aca="false">(N(H17)+N(J17))*Premissas!$C$21+AH18</f>
        <v>2.97028377970085</v>
      </c>
      <c r="G18" s="55" t="n">
        <f aca="false">H18+I18+J18+K18</f>
        <v>43.0381188385602</v>
      </c>
      <c r="H18" s="53" t="n">
        <f aca="false">N(H17)*(1-Premissas!$C$21)+AB18</f>
        <v>31.4423522603251</v>
      </c>
      <c r="I18" s="53" t="n">
        <f aca="false">SUM(INDEX($AF$6:$AF$29,MAX(1,B18-11)):INDEX($AF$6:$AF$29,B18))</f>
        <v>5.14004875245106</v>
      </c>
      <c r="J18" s="53" t="n">
        <f aca="false">N(J17)*(1-Premissas!$C$21)+AD18</f>
        <v>5.5486503988809</v>
      </c>
      <c r="K18" s="53" t="n">
        <f aca="false">SUM(INDEX($AG$6:$AG$29,MAX(1,B18-11)):INDEX($AG$6:$AG$29,B18))</f>
        <v>0.907067426903129</v>
      </c>
      <c r="L18" s="56" t="n">
        <f aca="false">H18*Premissas!$C$13+I18*Premissas!$F$13/12+J18*Premissas!$C$14+K18*Premissas!$F$14/12</f>
        <v>2624.99104674616</v>
      </c>
      <c r="M18" s="40" t="n">
        <f aca="false">L18*12</f>
        <v>31499.892560954</v>
      </c>
      <c r="N18" s="40" t="n">
        <f aca="false">IFERROR(L18/G18,0)</f>
        <v>60.9922347348112</v>
      </c>
      <c r="O18" s="40" t="n">
        <f aca="false">L18*Premissas!$C$30</f>
        <v>157.49946280477</v>
      </c>
      <c r="P18" s="40" t="n">
        <f aca="false">L18*Premissas!$C$28+AI18*Premissas!$C$29</f>
        <v>110.377727072949</v>
      </c>
      <c r="Q18" s="40" t="n">
        <f aca="false">G18*Premissas!$C$31</f>
        <v>21.5190594192801</v>
      </c>
      <c r="R18" s="40" t="n">
        <f aca="false">L18-O18-P18-Q18</f>
        <v>2335.59479744917</v>
      </c>
      <c r="S18" s="57" t="n">
        <f aca="false">IFERROR(R18/L18,0)</f>
        <v>0.88975343376667</v>
      </c>
      <c r="T18" s="40" t="n">
        <f aca="false">SUMPRODUCT(Premissas!$C$42:$C$61,--(Premissas!$D$42:$D$61&lt;=B18))</f>
        <v>3395</v>
      </c>
      <c r="U18" s="40" t="n">
        <f aca="false">Premissas!$C$34*(1+Premissas!$C$35)^(B18-1)</f>
        <v>2138.64133026927</v>
      </c>
      <c r="V18" s="40" t="n">
        <f aca="false">D18*Premissas!$C$36*Premissas!$C$37</f>
        <v>34.2182612843083</v>
      </c>
      <c r="W18" s="40" t="n">
        <f aca="false">O18+P18+Q18+T18+U18+V18</f>
        <v>5857.25584085058</v>
      </c>
      <c r="X18" s="56" t="n">
        <f aca="false">L18-W18</f>
        <v>-3232.26479410441</v>
      </c>
      <c r="Y18" s="40" t="n">
        <f aca="false">N(Y17)+X18</f>
        <v>-43427.9519251667</v>
      </c>
      <c r="Z18" s="40" t="n">
        <f aca="false">IFERROR((U18+V18)/D18,0)</f>
        <v>381</v>
      </c>
      <c r="AA18" s="54" t="n">
        <f aca="false">IFERROR(T18/(R18/G18),0)</f>
        <v>62.5598299912689</v>
      </c>
      <c r="AB18" s="58" t="n">
        <f aca="false">D18*(1-Premissas!$C$23)*(1-Premissas!$C$24)</f>
        <v>4.36282831374931</v>
      </c>
      <c r="AC18" s="58" t="n">
        <f aca="false">D18*(1-Premissas!$C$23)*Premissas!$C$24</f>
        <v>0.484758701527701</v>
      </c>
      <c r="AD18" s="58" t="n">
        <f aca="false">D18*Premissas!$C$23*(1-Premissas!$C$24)</f>
        <v>0.769910878896937</v>
      </c>
      <c r="AE18" s="58" t="n">
        <f aca="false">D18*Premissas!$C$23*Premissas!$C$24</f>
        <v>0.0855456532107708</v>
      </c>
      <c r="AF18" s="58" t="n">
        <f aca="false">AC18+IF(B18&gt;12,INDEX($AC$6:$AC$29,B18-12)*Premissas!$C$22,0)</f>
        <v>0.654758701527701</v>
      </c>
      <c r="AG18" s="58" t="n">
        <f aca="false">AE18+IF(B18&gt;12,INDEX($AE$6:$AE$29,B18-12)*Premissas!$C$22,0)</f>
        <v>0.115545653210771</v>
      </c>
      <c r="AH18" s="58" t="n">
        <f aca="false">IF(B18&gt;12,(INDEX($AC$6:$AC$29,B18-12)+INDEX($AE$6:$AE$29,B18-12))*(1-Premissas!$C$22),0)</f>
        <v>0.2</v>
      </c>
      <c r="AI18" s="58" t="n">
        <f aca="false">H18+J18+AF18+AG18</f>
        <v>37.7613070139445</v>
      </c>
      <c r="AJ18" s="59" t="str">
        <f aca="false">IF(X18&gt;0,B18,"")</f>
        <v/>
      </c>
      <c r="AK18" s="40" t="n">
        <f aca="false">H18*Premissas!$C$13+J18*Premissas!$C$14</f>
        <v>2308.23856593446</v>
      </c>
      <c r="AL18" s="40" t="n">
        <f aca="false">AF18*Premissas!$F$13+AG18*Premissas!$F$14</f>
        <v>484.189437953606</v>
      </c>
      <c r="AM18" s="40" t="n">
        <f aca="false">AK18+AL18</f>
        <v>2792.42800388806</v>
      </c>
      <c r="AN18" s="40" t="n">
        <f aca="false">AM18*Premissas!$C$30</f>
        <v>167.545680233284</v>
      </c>
      <c r="AO18" s="40" t="n">
        <f aca="false">AM18*Premissas!$C$28+AI18*Premissas!$C$29</f>
        <v>116.238020572915</v>
      </c>
      <c r="AP18" s="40" t="n">
        <f aca="false">Q18</f>
        <v>21.5190594192801</v>
      </c>
      <c r="AQ18" s="40" t="n">
        <f aca="false">T18</f>
        <v>3395</v>
      </c>
      <c r="AR18" s="40" t="n">
        <f aca="false">U18+V18</f>
        <v>2172.85959155358</v>
      </c>
      <c r="AS18" s="40" t="n">
        <f aca="false">AN18+AO18+AP18+AQ18+AR18</f>
        <v>5873.16235177906</v>
      </c>
      <c r="AT18" s="56" t="n">
        <f aca="false">AM18-AS18</f>
        <v>-3080.73434789099</v>
      </c>
      <c r="AU18" s="56" t="n">
        <f aca="false">IF(B18=1,Premissas!$C$8,N(AU17))+AT18</f>
        <v>-41701.7423801727</v>
      </c>
      <c r="AV18" s="40" t="n">
        <f aca="false">I18*Premissas!$F$13/12+K18*Premissas!$F$14/12</f>
        <v>316.752480811707</v>
      </c>
      <c r="AW18" s="40" t="n">
        <f aca="false">N(AW17)+AL18-AV18</f>
        <v>1907.41386187188</v>
      </c>
      <c r="AX18" s="1"/>
      <c r="AY18" s="51" t="n">
        <f aca="false">AY17+1</f>
        <v>13</v>
      </c>
      <c r="AZ18" s="52" t="n">
        <f aca="false">EDATE(Premissas!$C$7,AY18-1)</f>
        <v>46661</v>
      </c>
      <c r="BA18" s="53" t="n">
        <f aca="false">Premissas!$D$19*(1+Premissas!$D$20)^(AY18-1)</f>
        <v>18.0175327116866</v>
      </c>
      <c r="BB18" s="54" t="n">
        <f aca="false">IFERROR(BA18/Premissas!$D$25,0)</f>
        <v>90.087663558433</v>
      </c>
      <c r="BC18" s="53" t="n">
        <f aca="false">(N(BE17)+N(BG17))*Premissas!$D$21+CE18</f>
        <v>5.12488400346183</v>
      </c>
      <c r="BD18" s="55" t="n">
        <f aca="false">BE18+BF18+BG18+BH18</f>
        <v>132.811850810852</v>
      </c>
      <c r="BE18" s="53" t="n">
        <f aca="false">N(BE17)*(1-Premissas!$D$21)+BY18</f>
        <v>75.8601166763431</v>
      </c>
      <c r="BF18" s="53" t="n">
        <f aca="false">SUM(INDEX($CC$6:$CC$29,MAX(1,AY18-11)):INDEX($CC$6:$CC$29,AY18))</f>
        <v>23.7487714317957</v>
      </c>
      <c r="BG18" s="53" t="n">
        <f aca="false">N(BG17)*(1-Premissas!$D$21)+CA18</f>
        <v>25.286705558781</v>
      </c>
      <c r="BH18" s="53" t="n">
        <f aca="false">SUM(INDEX($CD$6:$CD$29,MAX(1,AY18-11)):INDEX($CD$6:$CD$29,AY18))</f>
        <v>7.9162571439319</v>
      </c>
      <c r="BI18" s="56" t="n">
        <f aca="false">BE18*Premissas!$C$13+BF18*Premissas!$F$13/12+BG18*Premissas!$C$14+BH18*Premissas!$F$14/12</f>
        <v>8340.46916255423</v>
      </c>
      <c r="BJ18" s="40" t="n">
        <f aca="false">BI18*12</f>
        <v>100085.629950651</v>
      </c>
      <c r="BK18" s="40" t="n">
        <f aca="false">IFERROR(BI18/BD18,0)</f>
        <v>62.7991335986469</v>
      </c>
      <c r="BL18" s="40" t="n">
        <f aca="false">BI18*Premissas!$C$30</f>
        <v>500.428149753254</v>
      </c>
      <c r="BM18" s="40" t="n">
        <f aca="false">BI18*Premissas!$C$28+CF18*Premissas!$C$29</f>
        <v>343.753681790354</v>
      </c>
      <c r="BN18" s="40" t="n">
        <f aca="false">BD18*Premissas!$C$31</f>
        <v>66.4059254054258</v>
      </c>
      <c r="BO18" s="40" t="n">
        <f aca="false">BI18-BL18-BM18-BN18</f>
        <v>7429.8814056052</v>
      </c>
      <c r="BP18" s="57" t="n">
        <f aca="false">IFERROR(BO18/BI18,0)</f>
        <v>0.890822957413805</v>
      </c>
      <c r="BQ18" s="40" t="n">
        <f aca="false">SUMPRODUCT(Premissas!$C$42:$C$61,--(Premissas!$D$42:$D$61&lt;=AY18))</f>
        <v>3395</v>
      </c>
      <c r="BR18" s="40" t="n">
        <f aca="false">Premissas!$C$34*(1+Premissas!$C$35)^(AY18-1)</f>
        <v>2138.64133026927</v>
      </c>
      <c r="BS18" s="40" t="n">
        <f aca="false">BA18*Premissas!$C$36*Premissas!$C$37</f>
        <v>108.10519627012</v>
      </c>
      <c r="BT18" s="40" t="n">
        <f aca="false">BL18+BM18+BN18+BQ18+BR18+BS18</f>
        <v>6552.33428348842</v>
      </c>
      <c r="BU18" s="56" t="n">
        <f aca="false">BI18-BT18</f>
        <v>1788.13487906581</v>
      </c>
      <c r="BV18" s="40" t="n">
        <f aca="false">N(BV17)+BU18</f>
        <v>-13642.1559621846</v>
      </c>
      <c r="BW18" s="40" t="n">
        <f aca="false">IFERROR((BR18+BS18)/BA18,0)</f>
        <v>124.697790895759</v>
      </c>
      <c r="BX18" s="54" t="n">
        <f aca="false">IFERROR(BQ18/(BO18/BD18),0)</f>
        <v>60.6868681864396</v>
      </c>
      <c r="BY18" s="58" t="n">
        <f aca="false">BA18*(1-Premissas!$D$23)*(1-Premissas!$D$24)</f>
        <v>10.810519627012</v>
      </c>
      <c r="BZ18" s="58" t="n">
        <f aca="false">BA18*(1-Premissas!$D$23)*Premissas!$D$24</f>
        <v>2.70262990675299</v>
      </c>
      <c r="CA18" s="58" t="n">
        <f aca="false">BA18*Premissas!$D$23*(1-Premissas!$D$24)</f>
        <v>3.60350654233732</v>
      </c>
      <c r="CB18" s="58" t="n">
        <f aca="false">BA18*Premissas!$D$23*Premissas!$D$24</f>
        <v>0.90087663558433</v>
      </c>
      <c r="CC18" s="58" t="n">
        <f aca="false">BZ18+IF(AY18&gt;12,INDEX($BZ$6:$BZ$29,AY18-12)*Premissas!$D$22,0)</f>
        <v>3.48262990675299</v>
      </c>
      <c r="CD18" s="58" t="n">
        <f aca="false">CB18+IF(AY18&gt;12,INDEX($CB$6:$CB$29,AY18-12)*Premissas!$D$22,0)</f>
        <v>1.16087663558433</v>
      </c>
      <c r="CE18" s="58" t="n">
        <f aca="false">IF(AY18&gt;12,(INDEX($BZ$6:$BZ$29,AY18-12)+INDEX($CB$6:$CB$29,AY18-12))*(1-Premissas!$D$22),0)</f>
        <v>0.56</v>
      </c>
      <c r="CF18" s="58" t="n">
        <f aca="false">BE18+BG18+CC18+CD18</f>
        <v>105.790328777461</v>
      </c>
      <c r="CG18" s="59" t="n">
        <f aca="false">IF(BU18&gt;0,AY18,"")</f>
        <v>13</v>
      </c>
      <c r="CH18" s="40" t="n">
        <f aca="false">BE18*Premissas!$C$13+BG18*Premissas!$C$14</f>
        <v>6615.00217417711</v>
      </c>
      <c r="CI18" s="40" t="n">
        <f aca="false">CC18*Premissas!$F$13+CD18*Premissas!$F$14</f>
        <v>3036.36571050166</v>
      </c>
      <c r="CJ18" s="40" t="n">
        <f aca="false">CH18+CI18</f>
        <v>9651.36788467878</v>
      </c>
      <c r="CK18" s="40" t="n">
        <f aca="false">CJ18*Premissas!$C$30</f>
        <v>579.082073080727</v>
      </c>
      <c r="CL18" s="40" t="n">
        <f aca="false">CJ18*Premissas!$C$28+CF18*Premissas!$C$29</f>
        <v>389.635137064713</v>
      </c>
      <c r="CM18" s="40" t="n">
        <f aca="false">BN18</f>
        <v>66.4059254054258</v>
      </c>
      <c r="CN18" s="40" t="n">
        <f aca="false">BQ18</f>
        <v>3395</v>
      </c>
      <c r="CO18" s="40" t="n">
        <f aca="false">BR18+BS18</f>
        <v>2246.74652653939</v>
      </c>
      <c r="CP18" s="40" t="n">
        <f aca="false">CK18+CL18+CM18+CN18+CO18</f>
        <v>6676.86966209026</v>
      </c>
      <c r="CQ18" s="56" t="n">
        <f aca="false">CJ18-CP18</f>
        <v>2974.49822258852</v>
      </c>
      <c r="CR18" s="56" t="n">
        <f aca="false">IF(AY18=1,Premissas!$C$8,N(CR17))+CQ18</f>
        <v>-3567.15641833742</v>
      </c>
      <c r="CS18" s="40" t="n">
        <f aca="false">BF18*Premissas!$F$13/12+BH18*Premissas!$F$14/12</f>
        <v>1725.46698837712</v>
      </c>
      <c r="CT18" s="40" t="n">
        <f aca="false">N(CT17)+CI18-CS18</f>
        <v>11132.5961810466</v>
      </c>
      <c r="CU18" s="1"/>
      <c r="CV18" s="51" t="n">
        <f aca="false">CV17+1</f>
        <v>13</v>
      </c>
      <c r="CW18" s="52" t="n">
        <f aca="false">EDATE(Premissas!$C$7,CV18-1)</f>
        <v>46661</v>
      </c>
      <c r="CX18" s="53" t="n">
        <f aca="false">Premissas!$E$19*(1+Premissas!$E$20)^(CV18-1)</f>
        <v>58.4396398882047</v>
      </c>
      <c r="CY18" s="54" t="n">
        <f aca="false">IFERROR(CX18/Premissas!$E$25,0)</f>
        <v>194.798799627349</v>
      </c>
      <c r="CZ18" s="53" t="n">
        <f aca="false">(N(DB17)+N(DD17))*Premissas!$E$21+EB18</f>
        <v>7.62448062625823</v>
      </c>
      <c r="DA18" s="55" t="n">
        <f aca="false">DB18+DC18+DD18+DE18</f>
        <v>383.563613191066</v>
      </c>
      <c r="DB18" s="53" t="n">
        <f aca="false">N(DB17)*(1-Premissas!$E$21)+DV18</f>
        <v>167.91620397766</v>
      </c>
      <c r="DC18" s="53" t="n">
        <f aca="false">SUM(INDEX($DZ$6:$DZ$29,MAX(1,CV18-11)):INDEX($DZ$6:$DZ$29,CV18))</f>
        <v>81.4001445965325</v>
      </c>
      <c r="DD18" s="53" t="n">
        <f aca="false">N(DD17)*(1-Premissas!$E$21)+DX18</f>
        <v>90.4164175264325</v>
      </c>
      <c r="DE18" s="53" t="n">
        <f aca="false">SUM(INDEX($EA$6:$EA$29,MAX(1,CV18-11)):INDEX($EA$6:$EA$29,CV18))</f>
        <v>43.8308470904406</v>
      </c>
      <c r="DF18" s="56" t="n">
        <f aca="false">DB18*Premissas!$C$13+DC18*Premissas!$F$13/12+DD18*Premissas!$C$14+DE18*Premissas!$F$14/12</f>
        <v>24758.2445945981</v>
      </c>
      <c r="DG18" s="40" t="n">
        <f aca="false">DF18*12</f>
        <v>297098.935135177</v>
      </c>
      <c r="DH18" s="40" t="n">
        <f aca="false">IFERROR(DF18/DA18,0)</f>
        <v>64.5479491357935</v>
      </c>
      <c r="DI18" s="40" t="n">
        <f aca="false">DF18*Premissas!$C$30</f>
        <v>1485.49467567588</v>
      </c>
      <c r="DJ18" s="40" t="n">
        <f aca="false">DF18*Premissas!$C$28+EC18*Premissas!$C$29</f>
        <v>1003.4761724115</v>
      </c>
      <c r="DK18" s="40" t="n">
        <f aca="false">DA18*Premissas!$C$31</f>
        <v>191.781806595533</v>
      </c>
      <c r="DL18" s="40" t="n">
        <f aca="false">DF18-DI18-DJ18-DK18</f>
        <v>22077.4919399152</v>
      </c>
      <c r="DM18" s="57" t="n">
        <f aca="false">IFERROR(DL18/DF18,0)</f>
        <v>0.891722830169154</v>
      </c>
      <c r="DN18" s="40" t="n">
        <f aca="false">SUMPRODUCT(Premissas!$C$42:$C$61,--(Premissas!$D$42:$D$61&lt;=CV18))</f>
        <v>3395</v>
      </c>
      <c r="DO18" s="40" t="n">
        <f aca="false">Premissas!$C$34*(1+Premissas!$C$35)^(CV18-1)</f>
        <v>2138.64133026927</v>
      </c>
      <c r="DP18" s="40" t="n">
        <f aca="false">CX18*Premissas!$C$36*Premissas!$C$37</f>
        <v>350.637839329228</v>
      </c>
      <c r="DQ18" s="40" t="n">
        <f aca="false">DI18+DJ18+DK18+DN18+DO18+DP18</f>
        <v>8565.03182428142</v>
      </c>
      <c r="DR18" s="56" t="n">
        <f aca="false">DF18-DQ18</f>
        <v>16193.2127703167</v>
      </c>
      <c r="DS18" s="40" t="n">
        <f aca="false">N(DS17)+DR18</f>
        <v>60767.5535717064</v>
      </c>
      <c r="DT18" s="40" t="n">
        <f aca="false">IFERROR((DO18+DP18)/CX18,0)</f>
        <v>42.5957308149143</v>
      </c>
      <c r="DU18" s="54" t="n">
        <f aca="false">IFERROR(DN18/(DL18/DA18),0)</f>
        <v>58.9830797052336</v>
      </c>
      <c r="DV18" s="58" t="n">
        <f aca="false">CX18*(1-Premissas!$E$23)*(1-Premissas!$E$24)</f>
        <v>26.5900361491331</v>
      </c>
      <c r="DW18" s="58" t="n">
        <f aca="false">CX18*(1-Premissas!$E$23)*Premissas!$E$24</f>
        <v>11.3957297781999</v>
      </c>
      <c r="DX18" s="58" t="n">
        <f aca="false">CX18*Premissas!$E$23*(1-Premissas!$E$24)</f>
        <v>14.3177117726102</v>
      </c>
      <c r="DY18" s="58" t="n">
        <f aca="false">CX18*Premissas!$E$23*Premissas!$E$24</f>
        <v>6.13616218826149</v>
      </c>
      <c r="DZ18" s="58" t="n">
        <f aca="false">DW18+IF(CV18&gt;12,INDEX($DW$6:$DW$29,CV18-12)*Premissas!$E$22,0)</f>
        <v>13.7357297781999</v>
      </c>
      <c r="EA18" s="58" t="n">
        <f aca="false">DY18+IF(CV18&gt;12,INDEX($DY$6:$DY$29,CV18-12)*Premissas!$E$22,0)</f>
        <v>7.39616218826149</v>
      </c>
      <c r="EB18" s="58" t="n">
        <f aca="false">IF(CV18&gt;12,(INDEX($DW$6:$DW$29,CV18-12)+INDEX($DY$6:$DY$29,CV18-12))*(1-Premissas!$E$22),0)</f>
        <v>0.9</v>
      </c>
      <c r="EC18" s="58" t="n">
        <f aca="false">DB18+DD18+DZ18+EA18</f>
        <v>279.464513470554</v>
      </c>
      <c r="ED18" s="59" t="n">
        <f aca="false">IF(DR18&gt;0,CV18,"")</f>
        <v>13</v>
      </c>
      <c r="EE18" s="40" t="n">
        <f aca="false">DB18*Premissas!$C$13+DD18*Premissas!$C$14</f>
        <v>17669.95131088</v>
      </c>
      <c r="EF18" s="40" t="n">
        <f aca="false">DZ18*Premissas!$F$13+EA18*Premissas!$F$14</f>
        <v>14353.2247933519</v>
      </c>
      <c r="EG18" s="40" t="n">
        <f aca="false">EE18+EF18</f>
        <v>32023.1761042318</v>
      </c>
      <c r="EH18" s="40" t="n">
        <f aca="false">EG18*Premissas!$C$30</f>
        <v>1921.39056625391</v>
      </c>
      <c r="EI18" s="40" t="n">
        <f aca="false">EG18*Premissas!$C$28+EC18*Premissas!$C$29</f>
        <v>1257.74877524869</v>
      </c>
      <c r="EJ18" s="40" t="n">
        <f aca="false">DK18</f>
        <v>191.781806595533</v>
      </c>
      <c r="EK18" s="40" t="n">
        <f aca="false">DN18</f>
        <v>3395</v>
      </c>
      <c r="EL18" s="40" t="n">
        <f aca="false">DO18+DP18</f>
        <v>2489.2791695985</v>
      </c>
      <c r="EM18" s="40" t="n">
        <f aca="false">EH18+EI18+EJ18+EK18+EL18</f>
        <v>9255.20031769663</v>
      </c>
      <c r="EN18" s="56" t="n">
        <f aca="false">EG18-EM18</f>
        <v>22767.9757865352</v>
      </c>
      <c r="EO18" s="56" t="n">
        <f aca="false">IF(CV18=1,Premissas!$C$8,N(EO17))+EN18</f>
        <v>105227.895752246</v>
      </c>
      <c r="EP18" s="40" t="n">
        <f aca="false">DC18*Premissas!$F$13/12+DE18*Premissas!$F$14/12</f>
        <v>7088.29328371813</v>
      </c>
      <c r="EQ18" s="40" t="n">
        <f aca="false">N(EQ17)+EF18-EP18</f>
        <v>49127.4499232484</v>
      </c>
      <c r="ER18" s="1"/>
      <c r="ES18" s="1"/>
      <c r="ET18" s="1"/>
      <c r="EU18" s="1"/>
      <c r="EV18" s="1"/>
      <c r="EW18" s="1"/>
      <c r="EX18" s="1"/>
      <c r="EY18" s="1"/>
    </row>
    <row r="19" customFormat="false" ht="15" hidden="false" customHeight="false" outlineLevel="0" collapsed="false">
      <c r="A19" s="1"/>
      <c r="B19" s="51" t="n">
        <f aca="false">B18+1</f>
        <v>14</v>
      </c>
      <c r="C19" s="52" t="n">
        <f aca="false">EDATE(Premissas!$C$7,B19-1)</f>
        <v>46692</v>
      </c>
      <c r="D19" s="53" t="n">
        <f aca="false">Premissas!$C$19*(1+Premissas!$C$20)^(B19-1)</f>
        <v>5.87413485380626</v>
      </c>
      <c r="E19" s="54" t="n">
        <f aca="false">IFERROR(D19/Premissas!$C$25,0)</f>
        <v>58.7413485380626</v>
      </c>
      <c r="F19" s="53" t="n">
        <f aca="false">(N(H18)+N(J18))*Premissas!$C$21+AH19</f>
        <v>3.16528021273648</v>
      </c>
      <c r="G19" s="55" t="n">
        <f aca="false">H19+I19+J19+K19</f>
        <v>45.74697347963</v>
      </c>
      <c r="H19" s="53" t="n">
        <f aca="false">N(H18)*(1-Premissas!$C$21)+AB19</f>
        <v>33.4206772426609</v>
      </c>
      <c r="I19" s="53" t="n">
        <f aca="false">SUM(INDEX($AF$6:$AF$29,MAX(1,B19-11)):INDEX($AF$6:$AF$29,B19))</f>
        <v>5.4642502150246</v>
      </c>
      <c r="J19" s="53" t="n">
        <f aca="false">N(J18)*(1-Premissas!$C$21)+AD19</f>
        <v>5.89776657223428</v>
      </c>
      <c r="K19" s="53" t="n">
        <f aca="false">SUM(INDEX($AG$6:$AG$29,MAX(1,B19-11)):INDEX($AG$6:$AG$29,B19))</f>
        <v>0.964279449710223</v>
      </c>
      <c r="L19" s="56" t="n">
        <f aca="false">H19*Premissas!$C$13+I19*Premissas!$F$13/12+J19*Premissas!$C$14+K19*Premissas!$F$14/12</f>
        <v>2790.20209928552</v>
      </c>
      <c r="M19" s="40" t="n">
        <f aca="false">L19*12</f>
        <v>33482.4251914262</v>
      </c>
      <c r="N19" s="40" t="n">
        <f aca="false">IFERROR(L19/G19,0)</f>
        <v>60.9920588632585</v>
      </c>
      <c r="O19" s="40" t="n">
        <f aca="false">L19*Premissas!$C$30</f>
        <v>167.412125957131</v>
      </c>
      <c r="P19" s="40" t="n">
        <f aca="false">L19*Premissas!$C$28+AI19*Premissas!$C$29</f>
        <v>117.311883552128</v>
      </c>
      <c r="Q19" s="40" t="n">
        <f aca="false">G19*Premissas!$C$31</f>
        <v>22.873486739815</v>
      </c>
      <c r="R19" s="40" t="n">
        <f aca="false">L19-O19-P19-Q19</f>
        <v>2482.60460303644</v>
      </c>
      <c r="S19" s="57" t="n">
        <f aca="false">IFERROR(R19/L19,0)</f>
        <v>0.889757986947311</v>
      </c>
      <c r="T19" s="40" t="n">
        <f aca="false">SUMPRODUCT(Premissas!$C$42:$C$61,--(Premissas!$D$42:$D$61&lt;=B19))</f>
        <v>3395</v>
      </c>
      <c r="U19" s="40" t="n">
        <f aca="false">Premissas!$C$34*(1+Premissas!$C$35)^(B19-1)</f>
        <v>2202.80057017735</v>
      </c>
      <c r="V19" s="40" t="n">
        <f aca="false">D19*Premissas!$C$36*Premissas!$C$37</f>
        <v>35.2448091228376</v>
      </c>
      <c r="W19" s="40" t="n">
        <f aca="false">O19+P19+Q19+T19+U19+V19</f>
        <v>5940.64287554926</v>
      </c>
      <c r="X19" s="56" t="n">
        <f aca="false">L19-W19</f>
        <v>-3150.44077626374</v>
      </c>
      <c r="Y19" s="40" t="n">
        <f aca="false">N(Y18)+X19</f>
        <v>-46578.3927014305</v>
      </c>
      <c r="Z19" s="40" t="n">
        <f aca="false">IFERROR((U19+V19)/D19,0)</f>
        <v>381</v>
      </c>
      <c r="AA19" s="54" t="n">
        <f aca="false">IFERROR(T19/(R19/G19),0)</f>
        <v>62.5596902436195</v>
      </c>
      <c r="AB19" s="58" t="n">
        <f aca="false">D19*(1-Premissas!$C$23)*(1-Premissas!$C$24)</f>
        <v>4.49371316316179</v>
      </c>
      <c r="AC19" s="58" t="n">
        <f aca="false">D19*(1-Premissas!$C$23)*Premissas!$C$24</f>
        <v>0.499301462573532</v>
      </c>
      <c r="AD19" s="58" t="n">
        <f aca="false">D19*Premissas!$C$23*(1-Premissas!$C$24)</f>
        <v>0.793008205263845</v>
      </c>
      <c r="AE19" s="58" t="n">
        <f aca="false">D19*Premissas!$C$23*Premissas!$C$24</f>
        <v>0.0881120228070939</v>
      </c>
      <c r="AF19" s="58" t="n">
        <f aca="false">AC19+IF(B19&gt;12,INDEX($AC$6:$AC$29,B19-12)*Premissas!$C$22,0)</f>
        <v>0.674401462573532</v>
      </c>
      <c r="AG19" s="58" t="n">
        <f aca="false">AE19+IF(B19&gt;12,INDEX($AE$6:$AE$29,B19-12)*Premissas!$C$22,0)</f>
        <v>0.119012022807094</v>
      </c>
      <c r="AH19" s="58" t="n">
        <f aca="false">IF(B19&gt;12,(INDEX($AC$6:$AC$29,B19-12)+INDEX($AE$6:$AE$29,B19-12))*(1-Premissas!$C$22),0)</f>
        <v>0.206</v>
      </c>
      <c r="AI19" s="58" t="n">
        <f aca="false">H19+J19+AF19+AG19</f>
        <v>40.1118573002758</v>
      </c>
      <c r="AJ19" s="59" t="str">
        <f aca="false">IF(X19&gt;0,B19,"")</f>
        <v/>
      </c>
      <c r="AK19" s="40" t="n">
        <f aca="false">H19*Premissas!$C$13+J19*Premissas!$C$14</f>
        <v>2453.47089404946</v>
      </c>
      <c r="AL19" s="40" t="n">
        <f aca="false">AF19*Premissas!$F$13+AG19*Premissas!$F$14</f>
        <v>498.715121092215</v>
      </c>
      <c r="AM19" s="40" t="n">
        <f aca="false">AK19+AL19</f>
        <v>2952.18601514167</v>
      </c>
      <c r="AN19" s="40" t="n">
        <f aca="false">AM19*Premissas!$C$30</f>
        <v>177.1311609085</v>
      </c>
      <c r="AO19" s="40" t="n">
        <f aca="false">AM19*Premissas!$C$28+AI19*Premissas!$C$29</f>
        <v>122.981320607094</v>
      </c>
      <c r="AP19" s="40" t="n">
        <f aca="false">Q19</f>
        <v>22.873486739815</v>
      </c>
      <c r="AQ19" s="40" t="n">
        <f aca="false">T19</f>
        <v>3395</v>
      </c>
      <c r="AR19" s="40" t="n">
        <f aca="false">U19+V19</f>
        <v>2238.04537930019</v>
      </c>
      <c r="AS19" s="40" t="n">
        <f aca="false">AN19+AO19+AP19+AQ19+AR19</f>
        <v>5956.03134755559</v>
      </c>
      <c r="AT19" s="56" t="n">
        <f aca="false">AM19-AS19</f>
        <v>-3003.84533241392</v>
      </c>
      <c r="AU19" s="56" t="n">
        <f aca="false">IF(B19=1,Premissas!$C$8,N(AU18))+AT19</f>
        <v>-44705.5877125866</v>
      </c>
      <c r="AV19" s="40" t="n">
        <f aca="false">I19*Premissas!$F$13/12+K19*Premissas!$F$14/12</f>
        <v>336.731205236058</v>
      </c>
      <c r="AW19" s="40" t="n">
        <f aca="false">N(AW18)+AL19-AV19</f>
        <v>2069.39777772803</v>
      </c>
      <c r="AX19" s="1"/>
      <c r="AY19" s="51" t="n">
        <f aca="false">AY18+1</f>
        <v>14</v>
      </c>
      <c r="AZ19" s="52" t="n">
        <f aca="false">EDATE(Premissas!$C$7,AY19-1)</f>
        <v>46692</v>
      </c>
      <c r="BA19" s="53" t="n">
        <f aca="false">Premissas!$D$19*(1+Premissas!$D$20)^(AY19-1)</f>
        <v>19.2787600015047</v>
      </c>
      <c r="BB19" s="54" t="n">
        <f aca="false">IFERROR(BA19/Premissas!$D$25,0)</f>
        <v>96.3938000075233</v>
      </c>
      <c r="BC19" s="53" t="n">
        <f aca="false">(N(BE18)+N(BG18))*Premissas!$D$21+CE19</f>
        <v>5.6565411117562</v>
      </c>
      <c r="BD19" s="55" t="n">
        <f aca="false">BE19+BF19+BG19+BH19</f>
        <v>146.4340697006</v>
      </c>
      <c r="BE19" s="53" t="n">
        <f aca="false">N(BE18)*(1-Premissas!$D$21)+BY19</f>
        <v>83.6343668434287</v>
      </c>
      <c r="BF19" s="53" t="n">
        <f aca="false">SUM(INDEX($CC$6:$CC$29,MAX(1,AY19-11)):INDEX($CC$6:$CC$29,AY19))</f>
        <v>26.1911854320214</v>
      </c>
      <c r="BG19" s="53" t="n">
        <f aca="false">N(BG18)*(1-Premissas!$D$21)+CA19</f>
        <v>27.8781222811429</v>
      </c>
      <c r="BH19" s="53" t="n">
        <f aca="false">SUM(INDEX($CD$6:$CD$29,MAX(1,AY19-11)):INDEX($CD$6:$CD$29,AY19))</f>
        <v>8.73039514400713</v>
      </c>
      <c r="BI19" s="56" t="n">
        <f aca="false">BE19*Premissas!$C$13+BF19*Premissas!$F$13/12+BG19*Premissas!$C$14+BH19*Premissas!$F$14/12</f>
        <v>9195.8373663105</v>
      </c>
      <c r="BJ19" s="40" t="n">
        <f aca="false">BI19*12</f>
        <v>110350.048395726</v>
      </c>
      <c r="BK19" s="40" t="n">
        <f aca="false">IFERROR(BI19/BD19,0)</f>
        <v>62.798482519214</v>
      </c>
      <c r="BL19" s="40" t="n">
        <f aca="false">BI19*Premissas!$C$30</f>
        <v>551.75024197863</v>
      </c>
      <c r="BM19" s="40" t="n">
        <f aca="false">BI19*Premissas!$C$28+CF19*Premissas!$C$29</f>
        <v>378.930017972055</v>
      </c>
      <c r="BN19" s="40" t="n">
        <f aca="false">BD19*Premissas!$C$31</f>
        <v>73.2170348503001</v>
      </c>
      <c r="BO19" s="40" t="n">
        <f aca="false">BI19-BL19-BM19-BN19</f>
        <v>8191.94007150951</v>
      </c>
      <c r="BP19" s="57" t="n">
        <f aca="false">IFERROR(BO19/BI19,0)</f>
        <v>0.890831334351472</v>
      </c>
      <c r="BQ19" s="40" t="n">
        <f aca="false">SUMPRODUCT(Premissas!$C$42:$C$61,--(Premissas!$D$42:$D$61&lt;=AY19))</f>
        <v>3395</v>
      </c>
      <c r="BR19" s="40" t="n">
        <f aca="false">Premissas!$C$34*(1+Premissas!$C$35)^(AY19-1)</f>
        <v>2202.80057017735</v>
      </c>
      <c r="BS19" s="40" t="n">
        <f aca="false">BA19*Premissas!$C$36*Premissas!$C$37</f>
        <v>115.672560009028</v>
      </c>
      <c r="BT19" s="40" t="n">
        <f aca="false">BL19+BM19+BN19+BQ19+BR19+BS19</f>
        <v>6717.37042498736</v>
      </c>
      <c r="BU19" s="56" t="n">
        <f aca="false">BI19-BT19</f>
        <v>2478.46694132314</v>
      </c>
      <c r="BV19" s="40" t="n">
        <f aca="false">N(BV18)+BU19</f>
        <v>-11163.6890208615</v>
      </c>
      <c r="BW19" s="40" t="n">
        <f aca="false">IFERROR((BR19+BS19)/BA19,0)</f>
        <v>120.260490301525</v>
      </c>
      <c r="BX19" s="54" t="n">
        <f aca="false">IFERROR(BQ19/(BO19/BD19),0)</f>
        <v>60.6869266979305</v>
      </c>
      <c r="BY19" s="58" t="n">
        <f aca="false">BA19*(1-Premissas!$D$23)*(1-Premissas!$D$24)</f>
        <v>11.5672560009028</v>
      </c>
      <c r="BZ19" s="58" t="n">
        <f aca="false">BA19*(1-Premissas!$D$23)*Premissas!$D$24</f>
        <v>2.8918140002257</v>
      </c>
      <c r="CA19" s="58" t="n">
        <f aca="false">BA19*Premissas!$D$23*(1-Premissas!$D$24)</f>
        <v>3.85575200030093</v>
      </c>
      <c r="CB19" s="58" t="n">
        <f aca="false">BA19*Premissas!$D$23*Premissas!$D$24</f>
        <v>0.963938000075233</v>
      </c>
      <c r="CC19" s="58" t="n">
        <f aca="false">BZ19+IF(AY19&gt;12,INDEX($BZ$6:$BZ$29,AY19-12)*Premissas!$D$22,0)</f>
        <v>3.7264140002257</v>
      </c>
      <c r="CD19" s="58" t="n">
        <f aca="false">CB19+IF(AY19&gt;12,INDEX($CB$6:$CB$29,AY19-12)*Premissas!$D$22,0)</f>
        <v>1.24213800007523</v>
      </c>
      <c r="CE19" s="58" t="n">
        <f aca="false">IF(AY19&gt;12,(INDEX($BZ$6:$BZ$29,AY19-12)+INDEX($CB$6:$CB$29,AY19-12))*(1-Premissas!$D$22),0)</f>
        <v>0.5992</v>
      </c>
      <c r="CF19" s="58" t="n">
        <f aca="false">BE19+BG19+CC19+CD19</f>
        <v>116.481041124873</v>
      </c>
      <c r="CG19" s="59" t="n">
        <f aca="false">IF(BU19&gt;0,AY19,"")</f>
        <v>14</v>
      </c>
      <c r="CH19" s="40" t="n">
        <f aca="false">BE19*Premissas!$C$13+BG19*Premissas!$C$14</f>
        <v>7292.91678874698</v>
      </c>
      <c r="CI19" s="40" t="n">
        <f aca="false">CC19*Premissas!$F$13+CD19*Premissas!$F$14</f>
        <v>3248.91131023678</v>
      </c>
      <c r="CJ19" s="40" t="n">
        <f aca="false">CH19+CI19</f>
        <v>10541.8280989838</v>
      </c>
      <c r="CK19" s="40" t="n">
        <f aca="false">CJ19*Premissas!$C$30</f>
        <v>632.509685939026</v>
      </c>
      <c r="CL19" s="40" t="n">
        <f aca="false">CJ19*Premissas!$C$28+CF19*Premissas!$C$29</f>
        <v>426.039693615619</v>
      </c>
      <c r="CM19" s="40" t="n">
        <f aca="false">BN19</f>
        <v>73.2170348503001</v>
      </c>
      <c r="CN19" s="40" t="n">
        <f aca="false">BQ19</f>
        <v>3395</v>
      </c>
      <c r="CO19" s="40" t="n">
        <f aca="false">BR19+BS19</f>
        <v>2318.47313018638</v>
      </c>
      <c r="CP19" s="40" t="n">
        <f aca="false">CK19+CL19+CM19+CN19+CO19</f>
        <v>6845.23954459132</v>
      </c>
      <c r="CQ19" s="56" t="n">
        <f aca="false">CJ19-CP19</f>
        <v>3696.58855439244</v>
      </c>
      <c r="CR19" s="56" t="n">
        <f aca="false">IF(AY19=1,Premissas!$C$8,N(CR18))+CQ19</f>
        <v>129.432136055023</v>
      </c>
      <c r="CS19" s="40" t="n">
        <f aca="false">BF19*Premissas!$F$13/12+BH19*Premissas!$F$14/12</f>
        <v>1902.92057756351</v>
      </c>
      <c r="CT19" s="40" t="n">
        <f aca="false">N(CT18)+CI19-CS19</f>
        <v>12478.5869137199</v>
      </c>
      <c r="CU19" s="1"/>
      <c r="CV19" s="51" t="n">
        <f aca="false">CV18+1</f>
        <v>14</v>
      </c>
      <c r="CW19" s="52" t="n">
        <f aca="false">EDATE(Premissas!$C$7,CV19-1)</f>
        <v>46692</v>
      </c>
      <c r="CX19" s="53" t="n">
        <f aca="false">Premissas!$E$19*(1+Premissas!$E$20)^(CV19-1)</f>
        <v>65.4523966747893</v>
      </c>
      <c r="CY19" s="54" t="n">
        <f aca="false">IFERROR(CX19/Premissas!$E$25,0)</f>
        <v>218.174655582631</v>
      </c>
      <c r="CZ19" s="53" t="n">
        <f aca="false">(N(DB18)+N(DD18))*Premissas!$E$21+EB19</f>
        <v>8.75797864512278</v>
      </c>
      <c r="DA19" s="55" t="n">
        <f aca="false">DB19+DC19+DD19+DE19</f>
        <v>440.258031220732</v>
      </c>
      <c r="DB19" s="53" t="n">
        <f aca="false">N(DB18)*(1-Premissas!$E$21)+DV19</f>
        <v>192.65955834536</v>
      </c>
      <c r="DC19" s="53" t="n">
        <f aca="false">SUM(INDEX($DZ$6:$DZ$29,MAX(1,CV19-11)):INDEX($DZ$6:$DZ$29,CV19))</f>
        <v>93.5081619481164</v>
      </c>
      <c r="DD19" s="53" t="n">
        <f aca="false">N(DD18)*(1-Premissas!$E$21)+DX19</f>
        <v>103.739762185963</v>
      </c>
      <c r="DE19" s="53" t="n">
        <f aca="false">SUM(INDEX($EA$6:$EA$29,MAX(1,CV19-11)):INDEX($EA$6:$EA$29,CV19))</f>
        <v>50.3505487412935</v>
      </c>
      <c r="DF19" s="56" t="n">
        <f aca="false">DB19*Premissas!$C$13+DC19*Premissas!$F$13/12+DD19*Premissas!$C$14+DE19*Premissas!$F$14/12</f>
        <v>28416.3683021068</v>
      </c>
      <c r="DG19" s="40" t="n">
        <f aca="false">DF19*12</f>
        <v>340996.419625281</v>
      </c>
      <c r="DH19" s="40" t="n">
        <f aca="false">IFERROR(DF19/DA19,0)</f>
        <v>64.5448039262676</v>
      </c>
      <c r="DI19" s="40" t="n">
        <f aca="false">DF19*Premissas!$C$30</f>
        <v>1704.98209812641</v>
      </c>
      <c r="DJ19" s="40" t="n">
        <f aca="false">DF19*Premissas!$C$28+EC19*Premissas!$C$29</f>
        <v>1151.40573994528</v>
      </c>
      <c r="DK19" s="40" t="n">
        <f aca="false">DA19*Premissas!$C$31</f>
        <v>220.129015610366</v>
      </c>
      <c r="DL19" s="40" t="n">
        <f aca="false">DF19-DI19-DJ19-DK19</f>
        <v>25339.8514484247</v>
      </c>
      <c r="DM19" s="57" t="n">
        <f aca="false">IFERROR(DL19/DF19,0)</f>
        <v>0.891734340540133</v>
      </c>
      <c r="DN19" s="40" t="n">
        <f aca="false">SUMPRODUCT(Premissas!$C$42:$C$61,--(Premissas!$D$42:$D$61&lt;=CV19))</f>
        <v>3395</v>
      </c>
      <c r="DO19" s="40" t="n">
        <f aca="false">Premissas!$C$34*(1+Premissas!$C$35)^(CV19-1)</f>
        <v>2202.80057017735</v>
      </c>
      <c r="DP19" s="40" t="n">
        <f aca="false">CX19*Premissas!$C$36*Premissas!$C$37</f>
        <v>392.714380048736</v>
      </c>
      <c r="DQ19" s="40" t="n">
        <f aca="false">DI19+DJ19+DK19+DN19+DO19+DP19</f>
        <v>9067.03180390813</v>
      </c>
      <c r="DR19" s="56" t="n">
        <f aca="false">DF19-DQ19</f>
        <v>19349.3364981986</v>
      </c>
      <c r="DS19" s="40" t="n">
        <f aca="false">N(DS18)+DR19</f>
        <v>80116.890069905</v>
      </c>
      <c r="DT19" s="40" t="n">
        <f aca="false">IFERROR((DO19+DP19)/CX19,0)</f>
        <v>39.6550024458587</v>
      </c>
      <c r="DU19" s="54" t="n">
        <f aca="false">IFERROR(DN19/(DL19/DA19),0)</f>
        <v>58.9851925152981</v>
      </c>
      <c r="DV19" s="58" t="n">
        <f aca="false">CX19*(1-Premissas!$E$23)*(1-Premissas!$E$24)</f>
        <v>29.7808404870291</v>
      </c>
      <c r="DW19" s="58" t="n">
        <f aca="false">CX19*(1-Premissas!$E$23)*Premissas!$E$24</f>
        <v>12.7632173515839</v>
      </c>
      <c r="DX19" s="58" t="n">
        <f aca="false">CX19*Premissas!$E$23*(1-Premissas!$E$24)</f>
        <v>16.0358371853234</v>
      </c>
      <c r="DY19" s="58" t="n">
        <f aca="false">CX19*Premissas!$E$23*Premissas!$E$24</f>
        <v>6.87250165085287</v>
      </c>
      <c r="DZ19" s="58" t="n">
        <f aca="false">DW19+IF(CV19&gt;12,INDEX($DW$6:$DW$29,CV19-12)*Premissas!$E$22,0)</f>
        <v>15.3840173515839</v>
      </c>
      <c r="EA19" s="58" t="n">
        <f aca="false">DY19+IF(CV19&gt;12,INDEX($DY$6:$DY$29,CV19-12)*Premissas!$E$22,0)</f>
        <v>8.28370165085287</v>
      </c>
      <c r="EB19" s="58" t="n">
        <f aca="false">IF(CV19&gt;12,(INDEX($DW$6:$DW$29,CV19-12)+INDEX($DY$6:$DY$29,CV19-12))*(1-Premissas!$E$22),0)</f>
        <v>1.008</v>
      </c>
      <c r="EC19" s="58" t="n">
        <f aca="false">DB19+DD19+DZ19+EA19</f>
        <v>320.067039533759</v>
      </c>
      <c r="ED19" s="59" t="n">
        <f aca="false">IF(DR19&gt;0,CV19,"")</f>
        <v>14</v>
      </c>
      <c r="EE19" s="40" t="n">
        <f aca="false">DB19*Premissas!$C$13+DD19*Premissas!$C$14</f>
        <v>20273.7135243425</v>
      </c>
      <c r="EF19" s="40" t="n">
        <f aca="false">DZ19*Premissas!$F$13+EA19*Premissas!$F$14</f>
        <v>16075.6117685541</v>
      </c>
      <c r="EG19" s="40" t="n">
        <f aca="false">EE19+EF19</f>
        <v>36349.3252928966</v>
      </c>
      <c r="EH19" s="40" t="n">
        <f aca="false">EG19*Premissas!$C$30</f>
        <v>2180.9595175738</v>
      </c>
      <c r="EI19" s="40" t="n">
        <f aca="false">EG19*Premissas!$C$28+EC19*Premissas!$C$29</f>
        <v>1429.05923462292</v>
      </c>
      <c r="EJ19" s="40" t="n">
        <f aca="false">DK19</f>
        <v>220.129015610366</v>
      </c>
      <c r="EK19" s="40" t="n">
        <f aca="false">DN19</f>
        <v>3395</v>
      </c>
      <c r="EL19" s="40" t="n">
        <f aca="false">DO19+DP19</f>
        <v>2595.51495022608</v>
      </c>
      <c r="EM19" s="40" t="n">
        <f aca="false">EH19+EI19+EJ19+EK19+EL19</f>
        <v>9820.66271803317</v>
      </c>
      <c r="EN19" s="56" t="n">
        <f aca="false">EG19-EM19</f>
        <v>26528.6625748634</v>
      </c>
      <c r="EO19" s="56" t="n">
        <f aca="false">IF(CV19=1,Premissas!$C$8,N(EO18))+EN19</f>
        <v>131756.55832711</v>
      </c>
      <c r="EP19" s="40" t="n">
        <f aca="false">DC19*Premissas!$F$13/12+DE19*Premissas!$F$14/12</f>
        <v>8142.6547777643</v>
      </c>
      <c r="EQ19" s="40" t="n">
        <f aca="false">N(EQ18)+EF19-EP19</f>
        <v>57060.4069140382</v>
      </c>
      <c r="ER19" s="1"/>
      <c r="ES19" s="1"/>
      <c r="ET19" s="1"/>
      <c r="EU19" s="1"/>
      <c r="EV19" s="1"/>
      <c r="EW19" s="1"/>
      <c r="EX19" s="1"/>
      <c r="EY19" s="1"/>
    </row>
    <row r="20" customFormat="false" ht="15" hidden="false" customHeight="false" outlineLevel="0" collapsed="false">
      <c r="A20" s="1"/>
      <c r="B20" s="51" t="n">
        <f aca="false">B19+1</f>
        <v>15</v>
      </c>
      <c r="C20" s="52" t="n">
        <f aca="false">EDATE(Premissas!$C$7,B20-1)</f>
        <v>46722</v>
      </c>
      <c r="D20" s="53" t="n">
        <f aca="false">Premissas!$C$19*(1+Premissas!$C$20)^(B20-1)</f>
        <v>6.05035889942045</v>
      </c>
      <c r="E20" s="54" t="n">
        <f aca="false">IFERROR(D20/Premissas!$C$25,0)</f>
        <v>60.5035889942045</v>
      </c>
      <c r="F20" s="53" t="n">
        <f aca="false">(N(H19)+N(J19))*Premissas!$C$21+AH20</f>
        <v>3.35765550519161</v>
      </c>
      <c r="G20" s="55" t="n">
        <f aca="false">H20+I20+J20+K20</f>
        <v>48.4396768738588</v>
      </c>
      <c r="H20" s="53" t="n">
        <f aca="false">N(H19)*(1-Premissas!$C$21)+AB20</f>
        <v>35.3755476213047</v>
      </c>
      <c r="I20" s="53" t="n">
        <f aca="false">SUM(INDEX($AF$6:$AF$29,MAX(1,B20-11)):INDEX($AF$6:$AF$29,B20))</f>
        <v>5.79817772147533</v>
      </c>
      <c r="J20" s="53" t="n">
        <f aca="false">N(J19)*(1-Premissas!$C$21)+AD20</f>
        <v>6.24274369787729</v>
      </c>
      <c r="K20" s="53" t="n">
        <f aca="false">SUM(INDEX($AG$6:$AG$29,MAX(1,B20-11)):INDEX($AG$6:$AG$29,B20))</f>
        <v>1.02320783320153</v>
      </c>
      <c r="L20" s="56" t="n">
        <f aca="false">H20*Premissas!$C$13+I20*Premissas!$F$13/12+J20*Premissas!$C$14+K20*Premissas!$F$14/12</f>
        <v>2954.2906697101</v>
      </c>
      <c r="M20" s="40" t="n">
        <f aca="false">L20*12</f>
        <v>35451.4880365211</v>
      </c>
      <c r="N20" s="40" t="n">
        <f aca="false">IFERROR(L20/G20,0)</f>
        <v>60.9890664094091</v>
      </c>
      <c r="O20" s="40" t="n">
        <f aca="false">L20*Premissas!$C$30</f>
        <v>177.257440182606</v>
      </c>
      <c r="P20" s="40" t="n">
        <f aca="false">L20*Premissas!$C$28+AI20*Premissas!$C$29</f>
        <v>124.193571972324</v>
      </c>
      <c r="Q20" s="40" t="n">
        <f aca="false">G20*Premissas!$C$31</f>
        <v>24.2198384369294</v>
      </c>
      <c r="R20" s="40" t="n">
        <f aca="false">L20-O20-P20-Q20</f>
        <v>2628.61981911824</v>
      </c>
      <c r="S20" s="57" t="n">
        <f aca="false">IFERROR(R20/L20,0)</f>
        <v>0.889763436641183</v>
      </c>
      <c r="T20" s="40" t="n">
        <f aca="false">SUMPRODUCT(Premissas!$C$42:$C$61,--(Premissas!$D$42:$D$61&lt;=B20))</f>
        <v>3395</v>
      </c>
      <c r="U20" s="40" t="n">
        <f aca="false">Premissas!$C$34*(1+Premissas!$C$35)^(B20-1)</f>
        <v>2268.88458728267</v>
      </c>
      <c r="V20" s="40" t="n">
        <f aca="false">D20*Premissas!$C$36*Premissas!$C$37</f>
        <v>36.3021533965227</v>
      </c>
      <c r="W20" s="40" t="n">
        <f aca="false">O20+P20+Q20+T20+U20+V20</f>
        <v>6025.85759127105</v>
      </c>
      <c r="X20" s="56" t="n">
        <f aca="false">L20-W20</f>
        <v>-3071.56692156096</v>
      </c>
      <c r="Y20" s="40" t="n">
        <f aca="false">N(Y19)+X20</f>
        <v>-49649.9596229914</v>
      </c>
      <c r="Z20" s="40" t="n">
        <f aca="false">IFERROR((U20+V20)/D20,0)</f>
        <v>381</v>
      </c>
      <c r="AA20" s="54" t="n">
        <f aca="false">IFERROR(T20/(R20/G20),0)</f>
        <v>62.5623765714115</v>
      </c>
      <c r="AB20" s="58" t="n">
        <f aca="false">D20*(1-Premissas!$C$23)*(1-Premissas!$C$24)</f>
        <v>4.62852455805664</v>
      </c>
      <c r="AC20" s="58" t="n">
        <f aca="false">D20*(1-Premissas!$C$23)*Premissas!$C$24</f>
        <v>0.514280506450738</v>
      </c>
      <c r="AD20" s="58" t="n">
        <f aca="false">D20*Premissas!$C$23*(1-Premissas!$C$24)</f>
        <v>0.81679845142176</v>
      </c>
      <c r="AE20" s="58" t="n">
        <f aca="false">D20*Premissas!$C$23*Premissas!$C$24</f>
        <v>0.0907553834913067</v>
      </c>
      <c r="AF20" s="58" t="n">
        <f aca="false">AC20+IF(B20&gt;12,INDEX($AC$6:$AC$29,B20-12)*Premissas!$C$22,0)</f>
        <v>0.694633506450738</v>
      </c>
      <c r="AG20" s="58" t="n">
        <f aca="false">AE20+IF(B20&gt;12,INDEX($AE$6:$AE$29,B20-12)*Premissas!$C$22,0)</f>
        <v>0.122582383491307</v>
      </c>
      <c r="AH20" s="58" t="n">
        <f aca="false">IF(B20&gt;12,(INDEX($AC$6:$AC$29,B20-12)+INDEX($AE$6:$AE$29,B20-12))*(1-Premissas!$C$22),0)</f>
        <v>0.21218</v>
      </c>
      <c r="AI20" s="58" t="n">
        <f aca="false">H20+J20+AF20+AG20</f>
        <v>42.435507209124</v>
      </c>
      <c r="AJ20" s="59" t="str">
        <f aca="false">IF(X20&gt;0,B20,"")</f>
        <v/>
      </c>
      <c r="AK20" s="40" t="n">
        <f aca="false">H20*Premissas!$C$13+J20*Premissas!$C$14</f>
        <v>2596.98137831695</v>
      </c>
      <c r="AL20" s="40" t="n">
        <f aca="false">AF20*Premissas!$F$13+AG20*Premissas!$F$14</f>
        <v>513.676574724981</v>
      </c>
      <c r="AM20" s="40" t="n">
        <f aca="false">AK20+AL20</f>
        <v>3110.65795304194</v>
      </c>
      <c r="AN20" s="40" t="n">
        <f aca="false">AM20*Premissas!$C$30</f>
        <v>186.639477182516</v>
      </c>
      <c r="AO20" s="40" t="n">
        <f aca="false">AM20*Premissas!$C$28+AI20*Premissas!$C$29</f>
        <v>129.666426888939</v>
      </c>
      <c r="AP20" s="40" t="n">
        <f aca="false">Q20</f>
        <v>24.2198384369294</v>
      </c>
      <c r="AQ20" s="40" t="n">
        <f aca="false">T20</f>
        <v>3395</v>
      </c>
      <c r="AR20" s="40" t="n">
        <f aca="false">U20+V20</f>
        <v>2305.18674067919</v>
      </c>
      <c r="AS20" s="40" t="n">
        <f aca="false">AN20+AO20+AP20+AQ20+AR20</f>
        <v>6040.71248318757</v>
      </c>
      <c r="AT20" s="56" t="n">
        <f aca="false">AM20-AS20</f>
        <v>-2930.05453014564</v>
      </c>
      <c r="AU20" s="56" t="n">
        <f aca="false">IF(B20=1,Premissas!$C$8,N(AU19))+AT20</f>
        <v>-47635.6422427323</v>
      </c>
      <c r="AV20" s="40" t="n">
        <f aca="false">I20*Premissas!$F$13/12+K20*Premissas!$F$14/12</f>
        <v>357.30929139314</v>
      </c>
      <c r="AW20" s="40" t="n">
        <f aca="false">N(AW19)+AL20-AV20</f>
        <v>2225.76506105987</v>
      </c>
      <c r="AX20" s="1"/>
      <c r="AY20" s="51" t="n">
        <f aca="false">AY19+1</f>
        <v>15</v>
      </c>
      <c r="AZ20" s="52" t="n">
        <f aca="false">EDATE(Premissas!$C$7,AY20-1)</f>
        <v>46722</v>
      </c>
      <c r="BA20" s="53" t="n">
        <f aca="false">Premissas!$D$19*(1+Premissas!$D$20)^(AY20-1)</f>
        <v>20.62827320161</v>
      </c>
      <c r="BB20" s="54" t="n">
        <f aca="false">IFERROR(BA20/Premissas!$D$25,0)</f>
        <v>103.14136600805</v>
      </c>
      <c r="BC20" s="53" t="n">
        <f aca="false">(N(BE19)+N(BG19))*Premissas!$D$21+CE20</f>
        <v>6.21676845622858</v>
      </c>
      <c r="BD20" s="55" t="n">
        <f aca="false">BE20+BF20+BG20+BH20</f>
        <v>160.845574445982</v>
      </c>
      <c r="BE20" s="53" t="n">
        <f aca="false">N(BE19)*(1-Premissas!$D$21)+BY20</f>
        <v>91.8296124222233</v>
      </c>
      <c r="BF20" s="53" t="n">
        <f aca="false">SUM(INDEX($CC$6:$CC$29,MAX(1,AY20-11)):INDEX($CC$6:$CC$29,AY20))</f>
        <v>28.8045684122629</v>
      </c>
      <c r="BG20" s="53" t="n">
        <f aca="false">N(BG19)*(1-Premissas!$D$21)+CA20</f>
        <v>30.6098708074078</v>
      </c>
      <c r="BH20" s="53" t="n">
        <f aca="false">SUM(INDEX($CD$6:$CD$29,MAX(1,AY20-11)):INDEX($CD$6:$CD$29,AY20))</f>
        <v>9.60152280408763</v>
      </c>
      <c r="BI20" s="56" t="n">
        <f aca="false">BE20*Premissas!$C$13+BF20*Premissas!$F$13/12+BG20*Premissas!$C$14+BH20*Premissas!$F$14/12</f>
        <v>10100.3381212108</v>
      </c>
      <c r="BJ20" s="40" t="n">
        <f aca="false">BI20*12</f>
        <v>121204.05745453</v>
      </c>
      <c r="BK20" s="40" t="n">
        <f aca="false">IFERROR(BI20/BD20,0)</f>
        <v>62.7952503884583</v>
      </c>
      <c r="BL20" s="40" t="n">
        <f aca="false">BI20*Premissas!$C$30</f>
        <v>606.02028727265</v>
      </c>
      <c r="BM20" s="40" t="n">
        <f aca="false">BI20*Premissas!$C$28+CF20*Premissas!$C$29</f>
        <v>416.112192838656</v>
      </c>
      <c r="BN20" s="40" t="n">
        <f aca="false">BD20*Premissas!$C$31</f>
        <v>80.4227872229908</v>
      </c>
      <c r="BO20" s="40" t="n">
        <f aca="false">BI20-BL20-BM20-BN20</f>
        <v>8997.78285387653</v>
      </c>
      <c r="BP20" s="57" t="n">
        <f aca="false">IFERROR(BO20/BI20,0)</f>
        <v>0.8908397665402</v>
      </c>
      <c r="BQ20" s="40" t="n">
        <f aca="false">SUMPRODUCT(Premissas!$C$42:$C$61,--(Premissas!$D$42:$D$61&lt;=AY20))</f>
        <v>3395</v>
      </c>
      <c r="BR20" s="40" t="n">
        <f aca="false">Premissas!$C$34*(1+Premissas!$C$35)^(AY20-1)</f>
        <v>2268.88458728267</v>
      </c>
      <c r="BS20" s="40" t="n">
        <f aca="false">BA20*Premissas!$C$36*Premissas!$C$37</f>
        <v>123.76963920966</v>
      </c>
      <c r="BT20" s="40" t="n">
        <f aca="false">BL20+BM20+BN20+BQ20+BR20+BS20</f>
        <v>6890.20949382662</v>
      </c>
      <c r="BU20" s="56" t="n">
        <f aca="false">BI20-BT20</f>
        <v>3210.1286273842</v>
      </c>
      <c r="BV20" s="40" t="n">
        <f aca="false">N(BV19)+BU20</f>
        <v>-7953.56039347728</v>
      </c>
      <c r="BW20" s="40" t="n">
        <f aca="false">IFERROR((BR20+BS20)/BA20,0)</f>
        <v>115.989070103337</v>
      </c>
      <c r="BX20" s="54" t="n">
        <f aca="false">IFERROR(BQ20/(BO20/BD20),0)</f>
        <v>60.689475853359</v>
      </c>
      <c r="BY20" s="58" t="n">
        <f aca="false">BA20*(1-Premissas!$D$23)*(1-Premissas!$D$24)</f>
        <v>12.376963920966</v>
      </c>
      <c r="BZ20" s="58" t="n">
        <f aca="false">BA20*(1-Premissas!$D$23)*Premissas!$D$24</f>
        <v>3.0942409802415</v>
      </c>
      <c r="CA20" s="58" t="n">
        <f aca="false">BA20*Premissas!$D$23*(1-Premissas!$D$24)</f>
        <v>4.125654640322</v>
      </c>
      <c r="CB20" s="58" t="n">
        <f aca="false">BA20*Premissas!$D$23*Premissas!$D$24</f>
        <v>1.0314136600805</v>
      </c>
      <c r="CC20" s="58" t="n">
        <f aca="false">BZ20+IF(AY20&gt;12,INDEX($BZ$6:$BZ$29,AY20-12)*Premissas!$D$22,0)</f>
        <v>3.9872629802415</v>
      </c>
      <c r="CD20" s="58" t="n">
        <f aca="false">CB20+IF(AY20&gt;12,INDEX($CB$6:$CB$29,AY20-12)*Premissas!$D$22,0)</f>
        <v>1.3290876600805</v>
      </c>
      <c r="CE20" s="58" t="n">
        <f aca="false">IF(AY20&gt;12,(INDEX($BZ$6:$BZ$29,AY20-12)+INDEX($CB$6:$CB$29,AY20-12))*(1-Premissas!$D$22),0)</f>
        <v>0.641144</v>
      </c>
      <c r="CF20" s="58" t="n">
        <f aca="false">BE20+BG20+CC20+CD20</f>
        <v>127.755833869953</v>
      </c>
      <c r="CG20" s="59" t="n">
        <f aca="false">IF(BU20&gt;0,AY20,"")</f>
        <v>15</v>
      </c>
      <c r="CH20" s="40" t="n">
        <f aca="false">BE20*Premissas!$C$13+BG20*Premissas!$C$14</f>
        <v>8007.54220321787</v>
      </c>
      <c r="CI20" s="40" t="n">
        <f aca="false">CC20*Premissas!$F$13+CD20*Premissas!$F$14</f>
        <v>3476.33510195335</v>
      </c>
      <c r="CJ20" s="40" t="n">
        <f aca="false">CH20+CI20</f>
        <v>11483.8773051712</v>
      </c>
      <c r="CK20" s="40" t="n">
        <f aca="false">CJ20*Premissas!$C$30</f>
        <v>689.032638310273</v>
      </c>
      <c r="CL20" s="40" t="n">
        <f aca="false">CJ20*Premissas!$C$28+CF20*Premissas!$C$29</f>
        <v>464.53606427727</v>
      </c>
      <c r="CM20" s="40" t="n">
        <f aca="false">BN20</f>
        <v>80.4227872229908</v>
      </c>
      <c r="CN20" s="40" t="n">
        <f aca="false">BQ20</f>
        <v>3395</v>
      </c>
      <c r="CO20" s="40" t="n">
        <f aca="false">BR20+BS20</f>
        <v>2392.65422649233</v>
      </c>
      <c r="CP20" s="40" t="n">
        <f aca="false">CK20+CL20+CM20+CN20+CO20</f>
        <v>7021.64571630286</v>
      </c>
      <c r="CQ20" s="56" t="n">
        <f aca="false">CJ20-CP20</f>
        <v>4462.23158886836</v>
      </c>
      <c r="CR20" s="56" t="n">
        <f aca="false">IF(AY20=1,Premissas!$C$8,N(CR19))+CQ20</f>
        <v>4591.66372492338</v>
      </c>
      <c r="CS20" s="40" t="n">
        <f aca="false">BF20*Premissas!$F$13/12+BH20*Premissas!$F$14/12</f>
        <v>2092.79591799296</v>
      </c>
      <c r="CT20" s="40" t="n">
        <f aca="false">N(CT19)+CI20-CS20</f>
        <v>13862.1260976803</v>
      </c>
      <c r="CU20" s="1"/>
      <c r="CV20" s="51" t="n">
        <f aca="false">CV19+1</f>
        <v>15</v>
      </c>
      <c r="CW20" s="52" t="n">
        <f aca="false">EDATE(Premissas!$C$7,CV20-1)</f>
        <v>46722</v>
      </c>
      <c r="CX20" s="53" t="n">
        <f aca="false">Premissas!$E$19*(1+Premissas!$E$20)^(CV20-1)</f>
        <v>73.306684275764</v>
      </c>
      <c r="CY20" s="54" t="n">
        <f aca="false">IFERROR(CX20/Premissas!$E$25,0)</f>
        <v>244.355614252547</v>
      </c>
      <c r="CZ20" s="53" t="n">
        <f aca="false">(N(DB19)+N(DD19))*Premissas!$E$21+EB20</f>
        <v>10.0209396159397</v>
      </c>
      <c r="DA20" s="55" t="n">
        <f aca="false">DB20+DC20+DD20+DE20</f>
        <v>503.543775880557</v>
      </c>
      <c r="DB20" s="53" t="n">
        <f aca="false">N(DB19)*(1-Premissas!$E$21)+DV20</f>
        <v>220.234312940471</v>
      </c>
      <c r="DC20" s="53" t="n">
        <f aca="false">SUM(INDEX($DZ$6:$DZ$29,MAX(1,CV20-11)):INDEX($DZ$6:$DZ$29,CV20))</f>
        <v>107.06914138189</v>
      </c>
      <c r="DD20" s="53" t="n">
        <f aca="false">N(DD19)*(1-Premissas!$E$21)+DX20</f>
        <v>118.587706967946</v>
      </c>
      <c r="DE20" s="53" t="n">
        <f aca="false">SUM(INDEX($EA$6:$EA$29,MAX(1,CV20-11)):INDEX($EA$6:$EA$29,CV20))</f>
        <v>57.6526145902487</v>
      </c>
      <c r="DF20" s="56" t="n">
        <f aca="false">DB20*Premissas!$C$13+DC20*Premissas!$F$13/12+DD20*Premissas!$C$14+DE20*Premissas!$F$14/12</f>
        <v>32498.9658128318</v>
      </c>
      <c r="DG20" s="40" t="n">
        <f aca="false">DF20*12</f>
        <v>389987.589753981</v>
      </c>
      <c r="DH20" s="40" t="n">
        <f aca="false">IFERROR(DF20/DA20,0)</f>
        <v>64.5404975088814</v>
      </c>
      <c r="DI20" s="40" t="n">
        <f aca="false">DF20*Premissas!$C$30</f>
        <v>1949.93794876991</v>
      </c>
      <c r="DJ20" s="40" t="n">
        <f aca="false">DF20*Premissas!$C$28+EC20*Premissas!$C$29</f>
        <v>1316.47543739277</v>
      </c>
      <c r="DK20" s="40" t="n">
        <f aca="false">DA20*Premissas!$C$31</f>
        <v>251.771887940278</v>
      </c>
      <c r="DL20" s="40" t="n">
        <f aca="false">DF20-DI20-DJ20-DK20</f>
        <v>28980.7805387288</v>
      </c>
      <c r="DM20" s="57" t="n">
        <f aca="false">IFERROR(DL20/DF20,0)</f>
        <v>0.891744700604785</v>
      </c>
      <c r="DN20" s="40" t="n">
        <f aca="false">SUMPRODUCT(Premissas!$C$42:$C$61,--(Premissas!$D$42:$D$61&lt;=CV20))</f>
        <v>3395</v>
      </c>
      <c r="DO20" s="40" t="n">
        <f aca="false">Premissas!$C$34*(1+Premissas!$C$35)^(CV20-1)</f>
        <v>2268.88458728267</v>
      </c>
      <c r="DP20" s="40" t="n">
        <f aca="false">CX20*Premissas!$C$36*Premissas!$C$37</f>
        <v>439.840105654584</v>
      </c>
      <c r="DQ20" s="40" t="n">
        <f aca="false">DI20+DJ20+DK20+DN20+DO20+DP20</f>
        <v>9621.90996704021</v>
      </c>
      <c r="DR20" s="56" t="n">
        <f aca="false">DF20-DQ20</f>
        <v>22877.0558457916</v>
      </c>
      <c r="DS20" s="40" t="n">
        <f aca="false">N(DS19)+DR20</f>
        <v>102993.945915697</v>
      </c>
      <c r="DT20" s="40" t="n">
        <f aca="false">IFERROR((DO20+DP20)/CX20,0)</f>
        <v>36.9505826064593</v>
      </c>
      <c r="DU20" s="54" t="n">
        <f aca="false">IFERROR(DN20/(DL20/DA20),0)</f>
        <v>58.988442938241</v>
      </c>
      <c r="DV20" s="58" t="n">
        <f aca="false">CX20*(1-Premissas!$E$23)*(1-Premissas!$E$24)</f>
        <v>33.3545413454726</v>
      </c>
      <c r="DW20" s="58" t="n">
        <f aca="false">CX20*(1-Premissas!$E$23)*Premissas!$E$24</f>
        <v>14.294803433774</v>
      </c>
      <c r="DX20" s="58" t="n">
        <f aca="false">CX20*Premissas!$E$23*(1-Premissas!$E$24)</f>
        <v>17.9601376475622</v>
      </c>
      <c r="DY20" s="58" t="n">
        <f aca="false">CX20*Premissas!$E$23*Premissas!$E$24</f>
        <v>7.69720184895522</v>
      </c>
      <c r="DZ20" s="58" t="n">
        <f aca="false">DW20+IF(CV20&gt;12,INDEX($DW$6:$DW$29,CV20-12)*Premissas!$E$22,0)</f>
        <v>17.230099433774</v>
      </c>
      <c r="EA20" s="58" t="n">
        <f aca="false">DY20+IF(CV20&gt;12,INDEX($DY$6:$DY$29,CV20-12)*Premissas!$E$22,0)</f>
        <v>9.27774584895522</v>
      </c>
      <c r="EB20" s="58" t="n">
        <f aca="false">IF(CV20&gt;12,(INDEX($DW$6:$DW$29,CV20-12)+INDEX($DY$6:$DY$29,CV20-12))*(1-Premissas!$E$22),0)</f>
        <v>1.12896</v>
      </c>
      <c r="EC20" s="58" t="n">
        <f aca="false">DB20+DD20+DZ20+EA20</f>
        <v>365.329865191147</v>
      </c>
      <c r="ED20" s="59" t="n">
        <f aca="false">IF(DR20&gt;0,CV20,"")</f>
        <v>15</v>
      </c>
      <c r="EE20" s="40" t="n">
        <f aca="false">DB20*Premissas!$C$13+DD20*Premissas!$C$14</f>
        <v>23175.4261617358</v>
      </c>
      <c r="EF20" s="40" t="n">
        <f aca="false">DZ20*Premissas!$F$13+EA20*Premissas!$F$14</f>
        <v>18004.6851807806</v>
      </c>
      <c r="EG20" s="40" t="n">
        <f aca="false">EE20+EF20</f>
        <v>41180.1113425164</v>
      </c>
      <c r="EH20" s="40" t="n">
        <f aca="false">EG20*Premissas!$C$30</f>
        <v>2470.80668055098</v>
      </c>
      <c r="EI20" s="40" t="n">
        <f aca="false">EG20*Premissas!$C$28+EC20*Premissas!$C$29</f>
        <v>1620.31553093174</v>
      </c>
      <c r="EJ20" s="40" t="n">
        <f aca="false">DK20</f>
        <v>251.771887940278</v>
      </c>
      <c r="EK20" s="40" t="n">
        <f aca="false">DN20</f>
        <v>3395</v>
      </c>
      <c r="EL20" s="40" t="n">
        <f aca="false">DO20+DP20</f>
        <v>2708.72469293725</v>
      </c>
      <c r="EM20" s="40" t="n">
        <f aca="false">EH20+EI20+EJ20+EK20+EL20</f>
        <v>10446.6187923602</v>
      </c>
      <c r="EN20" s="56" t="n">
        <f aca="false">EG20-EM20</f>
        <v>30733.4925501561</v>
      </c>
      <c r="EO20" s="56" t="n">
        <f aca="false">IF(CV20=1,Premissas!$C$8,N(EO19))+EN20</f>
        <v>162490.050877266</v>
      </c>
      <c r="EP20" s="40" t="n">
        <f aca="false">DC20*Premissas!$F$13/12+DE20*Premissas!$F$14/12</f>
        <v>9323.53965109602</v>
      </c>
      <c r="EQ20" s="40" t="n">
        <f aca="false">N(EQ19)+EF20-EP20</f>
        <v>65741.5524437228</v>
      </c>
      <c r="ER20" s="1"/>
      <c r="ES20" s="1"/>
      <c r="ET20" s="1"/>
      <c r="EU20" s="1"/>
      <c r="EV20" s="1"/>
      <c r="EW20" s="1"/>
      <c r="EX20" s="1"/>
      <c r="EY20" s="1"/>
    </row>
    <row r="21" customFormat="false" ht="15" hidden="false" customHeight="false" outlineLevel="0" collapsed="false">
      <c r="A21" s="1"/>
      <c r="B21" s="51" t="n">
        <f aca="false">B20+1</f>
        <v>16</v>
      </c>
      <c r="C21" s="52" t="n">
        <f aca="false">EDATE(Premissas!$C$7,B21-1)</f>
        <v>46753</v>
      </c>
      <c r="D21" s="53" t="n">
        <f aca="false">Premissas!$C$19*(1+Premissas!$C$20)^(B21-1)</f>
        <v>6.23186966640306</v>
      </c>
      <c r="E21" s="54" t="n">
        <f aca="false">IFERROR(D21/Premissas!$C$25,0)</f>
        <v>62.3186966640306</v>
      </c>
      <c r="F21" s="53" t="n">
        <f aca="false">(N(H20)+N(J20))*Premissas!$C$21+AH21</f>
        <v>3.54800870553456</v>
      </c>
      <c r="G21" s="55" t="n">
        <f aca="false">H21+I21+J21+K21</f>
        <v>51.1235378347273</v>
      </c>
      <c r="H21" s="53" t="n">
        <f aca="false">N(H20)*(1-Premissas!$C$21)+AB21</f>
        <v>37.3128841063987</v>
      </c>
      <c r="I21" s="53" t="n">
        <f aca="false">SUM(INDEX($AF$6:$AF$29,MAX(1,B21-11)):INDEX($AF$6:$AF$29,B21))</f>
        <v>6.14212305311959</v>
      </c>
      <c r="J21" s="53" t="n">
        <f aca="false">N(J20)*(1-Premissas!$C$21)+AD21</f>
        <v>6.58462660701152</v>
      </c>
      <c r="K21" s="53" t="n">
        <f aca="false">SUM(INDEX($AG$6:$AG$29,MAX(1,B21-11)):INDEX($AG$6:$AG$29,B21))</f>
        <v>1.08390406819758</v>
      </c>
      <c r="L21" s="56" t="n">
        <f aca="false">H21*Premissas!$C$13+I21*Premissas!$F$13/12+J21*Premissas!$C$14+K21*Premissas!$F$14/12</f>
        <v>3117.70938865173</v>
      </c>
      <c r="M21" s="40" t="n">
        <f aca="false">L21*12</f>
        <v>37412.5126638207</v>
      </c>
      <c r="N21" s="40" t="n">
        <f aca="false">IFERROR(L21/G21,0)</f>
        <v>60.9838348576479</v>
      </c>
      <c r="O21" s="40" t="n">
        <f aca="false">L21*Premissas!$C$30</f>
        <v>187.062563319104</v>
      </c>
      <c r="P21" s="40" t="n">
        <f aca="false">L21*Premissas!$C$28+AI21*Premissas!$C$29</f>
        <v>131.042057712035</v>
      </c>
      <c r="Q21" s="40" t="n">
        <f aca="false">G21*Premissas!$C$31</f>
        <v>25.5617689173637</v>
      </c>
      <c r="R21" s="40" t="n">
        <f aca="false">L21-O21-P21-Q21</f>
        <v>2774.04299870323</v>
      </c>
      <c r="S21" s="57" t="n">
        <f aca="false">IFERROR(R21/L21,0)</f>
        <v>0.889769588147174</v>
      </c>
      <c r="T21" s="40" t="n">
        <f aca="false">SUMPRODUCT(Premissas!$C$42:$C$61,--(Premissas!$D$42:$D$61&lt;=B21))</f>
        <v>3395</v>
      </c>
      <c r="U21" s="40" t="n">
        <f aca="false">Premissas!$C$34*(1+Premissas!$C$35)^(B21-1)</f>
        <v>2336.95112490115</v>
      </c>
      <c r="V21" s="40" t="n">
        <f aca="false">D21*Premissas!$C$36*Premissas!$C$37</f>
        <v>37.3912179984184</v>
      </c>
      <c r="W21" s="40" t="n">
        <f aca="false">O21+P21+Q21+T21+U21+V21</f>
        <v>6113.00873284807</v>
      </c>
      <c r="X21" s="56" t="n">
        <f aca="false">L21-W21</f>
        <v>-2995.29934419634</v>
      </c>
      <c r="Y21" s="40" t="n">
        <f aca="false">N(Y20)+X21</f>
        <v>-52645.2589671878</v>
      </c>
      <c r="Z21" s="40" t="n">
        <f aca="false">IFERROR((U21+V21)/D21,0)</f>
        <v>381</v>
      </c>
      <c r="AA21" s="54" t="n">
        <f aca="false">IFERROR(T21/(R21/G21),0)</f>
        <v>62.5673109717604</v>
      </c>
      <c r="AB21" s="58" t="n">
        <f aca="false">D21*(1-Premissas!$C$23)*(1-Premissas!$C$24)</f>
        <v>4.76738029479834</v>
      </c>
      <c r="AC21" s="58" t="n">
        <f aca="false">D21*(1-Premissas!$C$23)*Premissas!$C$24</f>
        <v>0.52970892164426</v>
      </c>
      <c r="AD21" s="58" t="n">
        <f aca="false">D21*Premissas!$C$23*(1-Premissas!$C$24)</f>
        <v>0.841302404964413</v>
      </c>
      <c r="AE21" s="58" t="n">
        <f aca="false">D21*Premissas!$C$23*Premissas!$C$24</f>
        <v>0.0934780449960459</v>
      </c>
      <c r="AF21" s="58" t="n">
        <f aca="false">AC21+IF(B21&gt;12,INDEX($AC$6:$AC$29,B21-12)*Premissas!$C$22,0)</f>
        <v>0.71547251164426</v>
      </c>
      <c r="AG21" s="58" t="n">
        <f aca="false">AE21+IF(B21&gt;12,INDEX($AE$6:$AE$29,B21-12)*Premissas!$C$22,0)</f>
        <v>0.126259854996046</v>
      </c>
      <c r="AH21" s="58" t="n">
        <f aca="false">IF(B21&gt;12,(INDEX($AC$6:$AC$29,B21-12)+INDEX($AE$6:$AE$29,B21-12))*(1-Premissas!$C$22),0)</f>
        <v>0.2185454</v>
      </c>
      <c r="AI21" s="58" t="n">
        <f aca="false">H21+J21+AF21+AG21</f>
        <v>44.7392430800505</v>
      </c>
      <c r="AJ21" s="59" t="str">
        <f aca="false">IF(X21&gt;0,B21,"")</f>
        <v/>
      </c>
      <c r="AK21" s="40" t="n">
        <f aca="false">H21*Premissas!$C$13+J21*Premissas!$C$14</f>
        <v>2739.20466851679</v>
      </c>
      <c r="AL21" s="40" t="n">
        <f aca="false">AF21*Premissas!$F$13+AG21*Premissas!$F$14</f>
        <v>529.086871966731</v>
      </c>
      <c r="AM21" s="40" t="n">
        <f aca="false">AK21+AL21</f>
        <v>3268.29154048353</v>
      </c>
      <c r="AN21" s="40" t="n">
        <f aca="false">AM21*Premissas!$C$30</f>
        <v>196.097492429012</v>
      </c>
      <c r="AO21" s="40" t="n">
        <f aca="false">AM21*Premissas!$C$28+AI21*Premissas!$C$29</f>
        <v>136.312433026148</v>
      </c>
      <c r="AP21" s="40" t="n">
        <f aca="false">Q21</f>
        <v>25.5617689173637</v>
      </c>
      <c r="AQ21" s="40" t="n">
        <f aca="false">T21</f>
        <v>3395</v>
      </c>
      <c r="AR21" s="40" t="n">
        <f aca="false">U21+V21</f>
        <v>2374.34234289957</v>
      </c>
      <c r="AS21" s="40" t="n">
        <f aca="false">AN21+AO21+AP21+AQ21+AR21</f>
        <v>6127.31403727209</v>
      </c>
      <c r="AT21" s="56" t="n">
        <f aca="false">AM21-AS21</f>
        <v>-2859.02249678856</v>
      </c>
      <c r="AU21" s="56" t="n">
        <f aca="false">IF(B21=1,Premissas!$C$8,N(AU20))+AT21</f>
        <v>-50494.6647395208</v>
      </c>
      <c r="AV21" s="40" t="n">
        <f aca="false">I21*Premissas!$F$13/12+K21*Premissas!$F$14/12</f>
        <v>378.504720134934</v>
      </c>
      <c r="AW21" s="40" t="n">
        <f aca="false">N(AW20)+AL21-AV21</f>
        <v>2376.34721289167</v>
      </c>
      <c r="AX21" s="1"/>
      <c r="AY21" s="51" t="n">
        <f aca="false">AY20+1</f>
        <v>16</v>
      </c>
      <c r="AZ21" s="52" t="n">
        <f aca="false">EDATE(Premissas!$C$7,AY21-1)</f>
        <v>46753</v>
      </c>
      <c r="BA21" s="53" t="n">
        <f aca="false">Premissas!$D$19*(1+Premissas!$D$20)^(AY21-1)</f>
        <v>22.0722523257227</v>
      </c>
      <c r="BB21" s="54" t="n">
        <f aca="false">IFERROR(BA21/Premissas!$D$25,0)</f>
        <v>110.361261628613</v>
      </c>
      <c r="BC21" s="53" t="n">
        <f aca="false">(N(BE20)+N(BG20))*Premissas!$D$21+CE21</f>
        <v>6.80799824148155</v>
      </c>
      <c r="BD21" s="55" t="n">
        <f aca="false">BE21+BF21+BG21+BH21</f>
        <v>176.109828530223</v>
      </c>
      <c r="BE21" s="53" t="n">
        <f aca="false">N(BE20)*(1-Premissas!$D$21)+BY21</f>
        <v>100.481483196546</v>
      </c>
      <c r="BF21" s="53" t="n">
        <f aca="false">SUM(INDEX($CC$6:$CC$29,MAX(1,AY21-11)):INDEX($CC$6:$CC$29,AY21))</f>
        <v>31.6008882011213</v>
      </c>
      <c r="BG21" s="53" t="n">
        <f aca="false">N(BG20)*(1-Premissas!$D$21)+CA21</f>
        <v>33.4938277321819</v>
      </c>
      <c r="BH21" s="53" t="n">
        <f aca="false">SUM(INDEX($CD$6:$CD$29,MAX(1,AY21-11)):INDEX($CD$6:$CD$29,AY21))</f>
        <v>10.5336294003738</v>
      </c>
      <c r="BI21" s="56" t="n">
        <f aca="false">BE21*Premissas!$C$13+BF21*Premissas!$F$13/12+BG21*Premissas!$C$14+BH21*Premissas!$F$14/12</f>
        <v>11057.9478669913</v>
      </c>
      <c r="BJ21" s="40" t="n">
        <f aca="false">BI21*12</f>
        <v>132695.374403895</v>
      </c>
      <c r="BK21" s="40" t="n">
        <f aca="false">IFERROR(BI21/BD21,0)</f>
        <v>62.7900666264834</v>
      </c>
      <c r="BL21" s="40" t="n">
        <f aca="false">BI21*Premissas!$C$30</f>
        <v>663.476872019475</v>
      </c>
      <c r="BM21" s="40" t="n">
        <f aca="false">BI21*Premissas!$C$28+CF21*Premissas!$C$29</f>
        <v>455.463440340491</v>
      </c>
      <c r="BN21" s="40" t="n">
        <f aca="false">BD21*Premissas!$C$31</f>
        <v>88.0549142651113</v>
      </c>
      <c r="BO21" s="40" t="n">
        <f aca="false">BI21-BL21-BM21-BN21</f>
        <v>9850.95264036618</v>
      </c>
      <c r="BP21" s="57" t="n">
        <f aca="false">IFERROR(BO21/BI21,0)</f>
        <v>0.890848171727411</v>
      </c>
      <c r="BQ21" s="40" t="n">
        <f aca="false">SUMPRODUCT(Premissas!$C$42:$C$61,--(Premissas!$D$42:$D$61&lt;=AY21))</f>
        <v>3395</v>
      </c>
      <c r="BR21" s="40" t="n">
        <f aca="false">Premissas!$C$34*(1+Premissas!$C$35)^(AY21-1)</f>
        <v>2336.95112490115</v>
      </c>
      <c r="BS21" s="40" t="n">
        <f aca="false">BA21*Premissas!$C$36*Premissas!$C$37</f>
        <v>132.433513954336</v>
      </c>
      <c r="BT21" s="40" t="n">
        <f aca="false">BL21+BM21+BN21+BQ21+BR21+BS21</f>
        <v>7071.37986548056</v>
      </c>
      <c r="BU21" s="56" t="n">
        <f aca="false">BI21-BT21</f>
        <v>3986.56800151069</v>
      </c>
      <c r="BV21" s="40" t="n">
        <f aca="false">N(BV20)+BU21</f>
        <v>-3966.99239196658</v>
      </c>
      <c r="BW21" s="40" t="n">
        <f aca="false">IFERROR((BR21+BS21)/BA21,0)</f>
        <v>111.877329164894</v>
      </c>
      <c r="BX21" s="54" t="n">
        <f aca="false">IFERROR(BQ21/(BO21/BD21),0)</f>
        <v>60.6939135419375</v>
      </c>
      <c r="BY21" s="58" t="n">
        <f aca="false">BA21*(1-Premissas!$D$23)*(1-Premissas!$D$24)</f>
        <v>13.2433513954336</v>
      </c>
      <c r="BZ21" s="58" t="n">
        <f aca="false">BA21*(1-Premissas!$D$23)*Premissas!$D$24</f>
        <v>3.3108378488584</v>
      </c>
      <c r="CA21" s="58" t="n">
        <f aca="false">BA21*Premissas!$D$23*(1-Premissas!$D$24)</f>
        <v>4.41445046514454</v>
      </c>
      <c r="CB21" s="58" t="n">
        <f aca="false">BA21*Premissas!$D$23*Premissas!$D$24</f>
        <v>1.10361261628613</v>
      </c>
      <c r="CC21" s="58" t="n">
        <f aca="false">BZ21+IF(AY21&gt;12,INDEX($BZ$6:$BZ$29,AY21-12)*Premissas!$D$22,0)</f>
        <v>4.2663713888584</v>
      </c>
      <c r="CD21" s="58" t="n">
        <f aca="false">CB21+IF(AY21&gt;12,INDEX($CB$6:$CB$29,AY21-12)*Premissas!$D$22,0)</f>
        <v>1.42212379628613</v>
      </c>
      <c r="CE21" s="58" t="n">
        <f aca="false">IF(AY21&gt;12,(INDEX($BZ$6:$BZ$29,AY21-12)+INDEX($CB$6:$CB$29,AY21-12))*(1-Premissas!$D$22),0)</f>
        <v>0.68602408</v>
      </c>
      <c r="CF21" s="58" t="n">
        <f aca="false">BE21+BG21+CC21+CD21</f>
        <v>139.663806113872</v>
      </c>
      <c r="CG21" s="59" t="n">
        <f aca="false">IF(BU21&gt;0,AY21,"")</f>
        <v>16</v>
      </c>
      <c r="CH21" s="40" t="n">
        <f aca="false">BE21*Premissas!$C$13+BG21*Premissas!$C$14</f>
        <v>8761.98533473879</v>
      </c>
      <c r="CI21" s="40" t="n">
        <f aca="false">CC21*Premissas!$F$13+CD21*Premissas!$F$14</f>
        <v>3719.67855909009</v>
      </c>
      <c r="CJ21" s="40" t="n">
        <f aca="false">CH21+CI21</f>
        <v>12481.6638938289</v>
      </c>
      <c r="CK21" s="40" t="n">
        <f aca="false">CJ21*Premissas!$C$30</f>
        <v>748.899833629733</v>
      </c>
      <c r="CL21" s="40" t="n">
        <f aca="false">CJ21*Premissas!$C$28+CF21*Premissas!$C$29</f>
        <v>505.293501279808</v>
      </c>
      <c r="CM21" s="40" t="n">
        <f aca="false">BN21</f>
        <v>88.0549142651113</v>
      </c>
      <c r="CN21" s="40" t="n">
        <f aca="false">BQ21</f>
        <v>3395</v>
      </c>
      <c r="CO21" s="40" t="n">
        <f aca="false">BR21+BS21</f>
        <v>2469.38463885548</v>
      </c>
      <c r="CP21" s="40" t="n">
        <f aca="false">CK21+CL21+CM21+CN21+CO21</f>
        <v>7206.63288803014</v>
      </c>
      <c r="CQ21" s="56" t="n">
        <f aca="false">CJ21-CP21</f>
        <v>5275.03100579874</v>
      </c>
      <c r="CR21" s="56" t="n">
        <f aca="false">IF(AY21=1,Premissas!$C$8,N(CR20))+CQ21</f>
        <v>9866.69473072212</v>
      </c>
      <c r="CS21" s="40" t="n">
        <f aca="false">BF21*Premissas!$F$13/12+BH21*Premissas!$F$14/12</f>
        <v>2295.96253225247</v>
      </c>
      <c r="CT21" s="40" t="n">
        <f aca="false">N(CT20)+CI21-CS21</f>
        <v>15285.8421245179</v>
      </c>
      <c r="CU21" s="1"/>
      <c r="CV21" s="51" t="n">
        <f aca="false">CV20+1</f>
        <v>16</v>
      </c>
      <c r="CW21" s="52" t="n">
        <f aca="false">EDATE(Premissas!$C$7,CV21-1)</f>
        <v>46753</v>
      </c>
      <c r="CX21" s="53" t="n">
        <f aca="false">Premissas!$E$19*(1+Premissas!$E$20)^(CV21-1)</f>
        <v>82.1034863888557</v>
      </c>
      <c r="CY21" s="54" t="n">
        <f aca="false">IFERROR(CX21/Premissas!$E$25,0)</f>
        <v>273.678287962852</v>
      </c>
      <c r="CZ21" s="53" t="n">
        <f aca="false">(N(DB20)+N(DD20))*Premissas!$E$21+EB21</f>
        <v>11.4290957972525</v>
      </c>
      <c r="DA21" s="55" t="n">
        <f aca="false">DB21+DC21+DD21+DE21</f>
        <v>574.21816647216</v>
      </c>
      <c r="DB21" s="53" t="n">
        <f aca="false">N(DB20)*(1-Premissas!$E$21)+DV21</f>
        <v>250.984369859187</v>
      </c>
      <c r="DC21" s="53" t="n">
        <f aca="false">SUM(INDEX($DZ$6:$DZ$29,MAX(1,CV21-11)):INDEX($DZ$6:$DZ$29,CV21))</f>
        <v>122.257438347717</v>
      </c>
      <c r="DD21" s="53" t="n">
        <f aca="false">N(DD20)*(1-Premissas!$E$21)+DX21</f>
        <v>135.145429924177</v>
      </c>
      <c r="DE21" s="53" t="n">
        <f aca="false">SUM(INDEX($EA$6:$EA$29,MAX(1,CV21-11)):INDEX($EA$6:$EA$29,CV21))</f>
        <v>65.8309283410785</v>
      </c>
      <c r="DF21" s="56" t="n">
        <f aca="false">DB21*Premissas!$C$13+DC21*Premissas!$F$13/12+DD21*Premissas!$C$14+DE21*Premissas!$F$14/12</f>
        <v>37057.4090144097</v>
      </c>
      <c r="DG21" s="40" t="n">
        <f aca="false">DF21*12</f>
        <v>444688.908172916</v>
      </c>
      <c r="DH21" s="40" t="n">
        <f aca="false">IFERROR(DF21/DA21,0)</f>
        <v>64.5354173346348</v>
      </c>
      <c r="DI21" s="40" t="n">
        <f aca="false">DF21*Premissas!$C$30</f>
        <v>2223.44454086458</v>
      </c>
      <c r="DJ21" s="40" t="n">
        <f aca="false">DF21*Premissas!$C$28+EC21*Premissas!$C$29</f>
        <v>1500.76042288935</v>
      </c>
      <c r="DK21" s="40" t="n">
        <f aca="false">DA21*Premissas!$C$31</f>
        <v>287.10908323608</v>
      </c>
      <c r="DL21" s="40" t="n">
        <f aca="false">DF21-DI21-DJ21-DK21</f>
        <v>33046.0949674196</v>
      </c>
      <c r="DM21" s="57" t="n">
        <f aca="false">IFERROR(DL21/DF21,0)</f>
        <v>0.891754060694578</v>
      </c>
      <c r="DN21" s="40" t="n">
        <f aca="false">SUMPRODUCT(Premissas!$C$42:$C$61,--(Premissas!$D$42:$D$61&lt;=CV21))</f>
        <v>3395</v>
      </c>
      <c r="DO21" s="40" t="n">
        <f aca="false">Premissas!$C$34*(1+Premissas!$C$35)^(CV21-1)</f>
        <v>2336.95112490115</v>
      </c>
      <c r="DP21" s="40" t="n">
        <f aca="false">CX21*Premissas!$C$36*Premissas!$C$37</f>
        <v>492.620918333134</v>
      </c>
      <c r="DQ21" s="40" t="n">
        <f aca="false">DI21+DJ21+DK21+DN21+DO21+DP21</f>
        <v>10235.8860902243</v>
      </c>
      <c r="DR21" s="56" t="n">
        <f aca="false">DF21-DQ21</f>
        <v>26821.5229241854</v>
      </c>
      <c r="DS21" s="40" t="n">
        <f aca="false">N(DS20)+DR21</f>
        <v>129815.468839882</v>
      </c>
      <c r="DT21" s="40" t="n">
        <f aca="false">IFERROR((DO21+DP21)/CX21,0)</f>
        <v>34.4634822184403</v>
      </c>
      <c r="DU21" s="54" t="n">
        <f aca="false">IFERROR(DN21/(DL21/DA21),0)</f>
        <v>58.9924672520302</v>
      </c>
      <c r="DV21" s="58" t="n">
        <f aca="false">CX21*(1-Premissas!$E$23)*(1-Premissas!$E$24)</f>
        <v>37.3570863069293</v>
      </c>
      <c r="DW21" s="58" t="n">
        <f aca="false">CX21*(1-Premissas!$E$23)*Premissas!$E$24</f>
        <v>16.0101798458269</v>
      </c>
      <c r="DX21" s="58" t="n">
        <f aca="false">CX21*Premissas!$E$23*(1-Premissas!$E$24)</f>
        <v>20.1153541652696</v>
      </c>
      <c r="DY21" s="58" t="n">
        <f aca="false">CX21*Premissas!$E$23*Premissas!$E$24</f>
        <v>8.62086607082985</v>
      </c>
      <c r="DZ21" s="58" t="n">
        <f aca="false">DW21+IF(CV21&gt;12,INDEX($DW$6:$DW$29,CV21-12)*Premissas!$E$22,0)</f>
        <v>19.2977113658269</v>
      </c>
      <c r="EA21" s="58" t="n">
        <f aca="false">DY21+IF(CV21&gt;12,INDEX($DY$6:$DY$29,CV21-12)*Premissas!$E$22,0)</f>
        <v>10.3910753508298</v>
      </c>
      <c r="EB21" s="58" t="n">
        <f aca="false">IF(CV21&gt;12,(INDEX($DW$6:$DW$29,CV21-12)+INDEX($DY$6:$DY$29,CV21-12))*(1-Premissas!$E$22),0)</f>
        <v>1.2644352</v>
      </c>
      <c r="EC21" s="58" t="n">
        <f aca="false">DB21+DD21+DZ21+EA21</f>
        <v>415.818586500021</v>
      </c>
      <c r="ED21" s="59" t="n">
        <f aca="false">IF(DR21&gt;0,CV21,"")</f>
        <v>16</v>
      </c>
      <c r="EE21" s="40" t="n">
        <f aca="false">DB21*Premissas!$C$13+DD21*Premissas!$C$14</f>
        <v>26411.2783051821</v>
      </c>
      <c r="EF21" s="40" t="n">
        <f aca="false">DZ21*Premissas!$F$13+EA21*Premissas!$F$14</f>
        <v>20165.2474024743</v>
      </c>
      <c r="EG21" s="40" t="n">
        <f aca="false">EE21+EF21</f>
        <v>46576.5257076564</v>
      </c>
      <c r="EH21" s="40" t="n">
        <f aca="false">EG21*Premissas!$C$30</f>
        <v>2794.59154245938</v>
      </c>
      <c r="EI21" s="40" t="n">
        <f aca="false">EG21*Premissas!$C$28+EC21*Premissas!$C$29</f>
        <v>1833.92950715298</v>
      </c>
      <c r="EJ21" s="40" t="n">
        <f aca="false">DK21</f>
        <v>287.10908323608</v>
      </c>
      <c r="EK21" s="40" t="n">
        <f aca="false">DN21</f>
        <v>3395</v>
      </c>
      <c r="EL21" s="40" t="n">
        <f aca="false">DO21+DP21</f>
        <v>2829.57204323428</v>
      </c>
      <c r="EM21" s="40" t="n">
        <f aca="false">EH21+EI21+EJ21+EK21+EL21</f>
        <v>11140.2021760827</v>
      </c>
      <c r="EN21" s="56" t="n">
        <f aca="false">EG21-EM21</f>
        <v>35436.3235315737</v>
      </c>
      <c r="EO21" s="56" t="n">
        <f aca="false">IF(CV21=1,Premissas!$C$8,N(EO20))+EN21</f>
        <v>197926.374408839</v>
      </c>
      <c r="EP21" s="40" t="n">
        <f aca="false">DC21*Premissas!$F$13/12+DE21*Premissas!$F$14/12</f>
        <v>10646.1307092275</v>
      </c>
      <c r="EQ21" s="40" t="n">
        <f aca="false">N(EQ20)+EF21-EP21</f>
        <v>75260.6691369695</v>
      </c>
      <c r="ER21" s="1"/>
      <c r="ES21" s="1"/>
      <c r="ET21" s="1"/>
      <c r="EU21" s="1"/>
      <c r="EV21" s="1"/>
      <c r="EW21" s="1"/>
      <c r="EX21" s="1"/>
      <c r="EY21" s="1"/>
    </row>
    <row r="22" customFormat="false" ht="15" hidden="false" customHeight="false" outlineLevel="0" collapsed="false">
      <c r="A22" s="1"/>
      <c r="B22" s="51" t="n">
        <f aca="false">B21+1</f>
        <v>17</v>
      </c>
      <c r="C22" s="52" t="n">
        <f aca="false">EDATE(Premissas!$C$7,B22-1)</f>
        <v>46784</v>
      </c>
      <c r="D22" s="53" t="n">
        <f aca="false">Premissas!$C$19*(1+Premissas!$C$20)^(B22-1)</f>
        <v>6.41882575639515</v>
      </c>
      <c r="E22" s="54" t="n">
        <f aca="false">IFERROR(D22/Premissas!$C$25,0)</f>
        <v>64.1882575639515</v>
      </c>
      <c r="F22" s="53" t="n">
        <f aca="false">(N(H21)+N(J21))*Premissas!$C$21+AH22</f>
        <v>3.73690261907281</v>
      </c>
      <c r="G22" s="55" t="n">
        <f aca="false">H22+I22+J22+K22</f>
        <v>53.8054609720497</v>
      </c>
      <c r="H22" s="53" t="n">
        <f aca="false">N(H21)*(1-Premissas!$C$21)+AB22</f>
        <v>39.2382550815291</v>
      </c>
      <c r="I22" s="53" t="n">
        <f aca="false">SUM(INDEX($AF$6:$AF$29,MAX(1,B22-11)):INDEX($AF$6:$AF$29,B22))</f>
        <v>6.49638674471318</v>
      </c>
      <c r="J22" s="53" t="n">
        <f aca="false">N(J21)*(1-Premissas!$C$21)+AD22</f>
        <v>6.92439795556395</v>
      </c>
      <c r="K22" s="53" t="n">
        <f aca="false">SUM(INDEX($AG$6:$AG$29,MAX(1,B22-11)):INDEX($AG$6:$AG$29,B22))</f>
        <v>1.1464211902435</v>
      </c>
      <c r="L22" s="56" t="n">
        <f aca="false">H22*Premissas!$C$13+I22*Premissas!$F$13/12+J22*Premissas!$C$14+K22*Premissas!$F$14/12</f>
        <v>3280.88556125359</v>
      </c>
      <c r="M22" s="40" t="n">
        <f aca="false">L22*12</f>
        <v>39370.626735043</v>
      </c>
      <c r="N22" s="40" t="n">
        <f aca="false">IFERROR(L22/G22,0)</f>
        <v>60.9768135423634</v>
      </c>
      <c r="O22" s="40" t="n">
        <f aca="false">L22*Premissas!$C$30</f>
        <v>196.853133675215</v>
      </c>
      <c r="P22" s="40" t="n">
        <f aca="false">L22*Premissas!$C$28+AI22*Premissas!$C$29</f>
        <v>137.875516957494</v>
      </c>
      <c r="Q22" s="40" t="n">
        <f aca="false">G22*Premissas!$C$31</f>
        <v>26.9027304860248</v>
      </c>
      <c r="R22" s="40" t="n">
        <f aca="false">L22-O22-P22-Q22</f>
        <v>2919.25418013485</v>
      </c>
      <c r="S22" s="57" t="n">
        <f aca="false">IFERROR(R22/L22,0)</f>
        <v>0.889776289246566</v>
      </c>
      <c r="T22" s="40" t="n">
        <f aca="false">SUMPRODUCT(Premissas!$C$42:$C$61,--(Premissas!$D$42:$D$61&lt;=B22))</f>
        <v>3395</v>
      </c>
      <c r="U22" s="40" t="n">
        <f aca="false">Premissas!$C$34*(1+Premissas!$C$35)^(B22-1)</f>
        <v>2407.05965864818</v>
      </c>
      <c r="V22" s="40" t="n">
        <f aca="false">D22*Premissas!$C$36*Premissas!$C$37</f>
        <v>38.5129545383709</v>
      </c>
      <c r="W22" s="40" t="n">
        <f aca="false">O22+P22+Q22+T22+U22+V22</f>
        <v>6202.20399430529</v>
      </c>
      <c r="X22" s="56" t="n">
        <f aca="false">L22-W22</f>
        <v>-2921.3184330517</v>
      </c>
      <c r="Y22" s="40" t="n">
        <f aca="false">N(Y21)+X22</f>
        <v>-55566.5774002395</v>
      </c>
      <c r="Z22" s="40" t="n">
        <f aca="false">IFERROR((U22+V22)/D22,0)</f>
        <v>381</v>
      </c>
      <c r="AA22" s="54" t="n">
        <f aca="false">IFERROR(T22/(R22/G22),0)</f>
        <v>62.5740441661954</v>
      </c>
      <c r="AB22" s="58" t="n">
        <f aca="false">D22*(1-Premissas!$C$23)*(1-Premissas!$C$24)</f>
        <v>4.91040170364229</v>
      </c>
      <c r="AC22" s="58" t="n">
        <f aca="false">D22*(1-Premissas!$C$23)*Premissas!$C$24</f>
        <v>0.545600189293588</v>
      </c>
      <c r="AD22" s="58" t="n">
        <f aca="false">D22*Premissas!$C$23*(1-Premissas!$C$24)</f>
        <v>0.866541477113346</v>
      </c>
      <c r="AE22" s="58" t="n">
        <f aca="false">D22*Premissas!$C$23*Premissas!$C$24</f>
        <v>0.0962823863459273</v>
      </c>
      <c r="AF22" s="58" t="n">
        <f aca="false">AC22+IF(B22&gt;12,INDEX($AC$6:$AC$29,B22-12)*Premissas!$C$22,0)</f>
        <v>0.736936686993588</v>
      </c>
      <c r="AG22" s="58" t="n">
        <f aca="false">AE22+IF(B22&gt;12,INDEX($AE$6:$AE$29,B22-12)*Premissas!$C$22,0)</f>
        <v>0.130047650645927</v>
      </c>
      <c r="AH22" s="58" t="n">
        <f aca="false">IF(B22&gt;12,(INDEX($AC$6:$AC$29,B22-12)+INDEX($AE$6:$AE$29,B22-12))*(1-Premissas!$C$22),0)</f>
        <v>0.225101762</v>
      </c>
      <c r="AI22" s="58" t="n">
        <f aca="false">H22+J22+AF22+AG22</f>
        <v>47.0296373747325</v>
      </c>
      <c r="AJ22" s="59" t="str">
        <f aca="false">IF(X22&gt;0,B22,"")</f>
        <v/>
      </c>
      <c r="AK22" s="40" t="n">
        <f aca="false">H22*Premissas!$C$13+J22*Premissas!$C$14</f>
        <v>2880.5495495146</v>
      </c>
      <c r="AL22" s="40" t="n">
        <f aca="false">AF22*Premissas!$F$13+AG22*Premissas!$F$14</f>
        <v>544.959478125733</v>
      </c>
      <c r="AM22" s="40" t="n">
        <f aca="false">AK22+AL22</f>
        <v>3425.50902764034</v>
      </c>
      <c r="AN22" s="40" t="n">
        <f aca="false">AM22*Premissas!$C$30</f>
        <v>205.53054165842</v>
      </c>
      <c r="AO22" s="40" t="n">
        <f aca="false">AM22*Premissas!$C$28+AI22*Premissas!$C$29</f>
        <v>142.937338281031</v>
      </c>
      <c r="AP22" s="40" t="n">
        <f aca="false">Q22</f>
        <v>26.9027304860248</v>
      </c>
      <c r="AQ22" s="40" t="n">
        <f aca="false">T22</f>
        <v>3395</v>
      </c>
      <c r="AR22" s="40" t="n">
        <f aca="false">U22+V22</f>
        <v>2445.57261318655</v>
      </c>
      <c r="AS22" s="40" t="n">
        <f aca="false">AN22+AO22+AP22+AQ22+AR22</f>
        <v>6215.94322361203</v>
      </c>
      <c r="AT22" s="56" t="n">
        <f aca="false">AM22-AS22</f>
        <v>-2790.43419597169</v>
      </c>
      <c r="AU22" s="56" t="n">
        <f aca="false">IF(B22=1,Premissas!$C$8,N(AU21))+AT22</f>
        <v>-53285.0989354925</v>
      </c>
      <c r="AV22" s="40" t="n">
        <f aca="false">I22*Premissas!$F$13/12+K22*Premissas!$F$14/12</f>
        <v>400.336011738982</v>
      </c>
      <c r="AW22" s="40" t="n">
        <f aca="false">N(AW21)+AL22-AV22</f>
        <v>2520.97067927842</v>
      </c>
      <c r="AX22" s="1"/>
      <c r="AY22" s="51" t="n">
        <f aca="false">AY21+1</f>
        <v>17</v>
      </c>
      <c r="AZ22" s="52" t="n">
        <f aca="false">EDATE(Premissas!$C$7,AY22-1)</f>
        <v>46784</v>
      </c>
      <c r="BA22" s="53" t="n">
        <f aca="false">Premissas!$D$19*(1+Premissas!$D$20)^(AY22-1)</f>
        <v>23.6173099885233</v>
      </c>
      <c r="BB22" s="54" t="n">
        <f aca="false">IFERROR(BA22/Premissas!$D$25,0)</f>
        <v>118.086549942616</v>
      </c>
      <c r="BC22" s="53" t="n">
        <f aca="false">(N(BE21)+N(BG21))*Premissas!$D$21+CE22</f>
        <v>7.43281131203638</v>
      </c>
      <c r="BD22" s="55" t="n">
        <f aca="false">BE22+BF22+BG22+BH22</f>
        <v>192.29432720671</v>
      </c>
      <c r="BE22" s="53" t="n">
        <f aca="false">N(BE21)*(1-Premissas!$D$21)+BY22</f>
        <v>109.627795029832</v>
      </c>
      <c r="BF22" s="53" t="n">
        <f aca="false">SUM(INDEX($CC$6:$CC$29,MAX(1,AY22-11)):INDEX($CC$6:$CC$29,AY22))</f>
        <v>34.5929503751998</v>
      </c>
      <c r="BG22" s="53" t="n">
        <f aca="false">N(BG21)*(1-Premissas!$D$21)+CA22</f>
        <v>36.5425983432775</v>
      </c>
      <c r="BH22" s="53" t="n">
        <f aca="false">SUM(INDEX($CD$6:$CD$29,MAX(1,AY22-11)):INDEX($CD$6:$CD$29,AY22))</f>
        <v>11.5309834583999</v>
      </c>
      <c r="BI22" s="56" t="n">
        <f aca="false">BE22*Premissas!$C$13+BF22*Premissas!$F$13/12+BG22*Premissas!$C$14+BH22*Premissas!$F$14/12</f>
        <v>12072.8945361115</v>
      </c>
      <c r="BJ22" s="40" t="n">
        <f aca="false">BI22*12</f>
        <v>144874.734433338</v>
      </c>
      <c r="BK22" s="40" t="n">
        <f aca="false">IFERROR(BI22/BD22,0)</f>
        <v>62.7834149425198</v>
      </c>
      <c r="BL22" s="40" t="n">
        <f aca="false">BI22*Premissas!$C$30</f>
        <v>724.373672166691</v>
      </c>
      <c r="BM22" s="40" t="n">
        <f aca="false">BI22*Premissas!$C$28+CF22*Premissas!$C$29</f>
        <v>497.157279542298</v>
      </c>
      <c r="BN22" s="40" t="n">
        <f aca="false">BD22*Premissas!$C$31</f>
        <v>96.1471636033548</v>
      </c>
      <c r="BO22" s="40" t="n">
        <f aca="false">BI22-BL22-BM22-BN22</f>
        <v>10755.2164207992</v>
      </c>
      <c r="BP22" s="57" t="n">
        <f aca="false">IFERROR(BO22/BI22,0)</f>
        <v>0.890856487533209</v>
      </c>
      <c r="BQ22" s="40" t="n">
        <f aca="false">SUMPRODUCT(Premissas!$C$42:$C$61,--(Premissas!$D$42:$D$61&lt;=AY22))</f>
        <v>3395</v>
      </c>
      <c r="BR22" s="40" t="n">
        <f aca="false">Premissas!$C$34*(1+Premissas!$C$35)^(AY22-1)</f>
        <v>2407.05965864818</v>
      </c>
      <c r="BS22" s="40" t="n">
        <f aca="false">BA22*Premissas!$C$36*Premissas!$C$37</f>
        <v>141.70385993114</v>
      </c>
      <c r="BT22" s="40" t="n">
        <f aca="false">BL22+BM22+BN22+BQ22+BR22+BS22</f>
        <v>7261.44163389167</v>
      </c>
      <c r="BU22" s="56" t="n">
        <f aca="false">BI22-BT22</f>
        <v>4811.45290221986</v>
      </c>
      <c r="BV22" s="40" t="n">
        <f aca="false">N(BV21)+BU22</f>
        <v>844.460510253273</v>
      </c>
      <c r="BW22" s="40" t="n">
        <f aca="false">IFERROR((BR22+BS22)/BA22,0)</f>
        <v>107.919298168076</v>
      </c>
      <c r="BX22" s="54" t="n">
        <f aca="false">IFERROR(BQ22/(BO22/BD22),0)</f>
        <v>60.6997772359349</v>
      </c>
      <c r="BY22" s="58" t="n">
        <f aca="false">BA22*(1-Premissas!$D$23)*(1-Premissas!$D$24)</f>
        <v>14.170385993114</v>
      </c>
      <c r="BZ22" s="58" t="n">
        <f aca="false">BA22*(1-Premissas!$D$23)*Premissas!$D$24</f>
        <v>3.54259649827849</v>
      </c>
      <c r="CA22" s="58" t="n">
        <f aca="false">BA22*Premissas!$D$23*(1-Premissas!$D$24)</f>
        <v>4.72346199770466</v>
      </c>
      <c r="CB22" s="58" t="n">
        <f aca="false">BA22*Premissas!$D$23*Premissas!$D$24</f>
        <v>1.18086549942616</v>
      </c>
      <c r="CC22" s="58" t="n">
        <f aca="false">BZ22+IF(AY22&gt;12,INDEX($BZ$6:$BZ$29,AY22-12)*Premissas!$D$22,0)</f>
        <v>4.56501738607849</v>
      </c>
      <c r="CD22" s="58" t="n">
        <f aca="false">CB22+IF(AY22&gt;12,INDEX($CB$6:$CB$29,AY22-12)*Premissas!$D$22,0)</f>
        <v>1.52167246202616</v>
      </c>
      <c r="CE22" s="58" t="n">
        <f aca="false">IF(AY22&gt;12,(INDEX($BZ$6:$BZ$29,AY22-12)+INDEX($CB$6:$CB$29,AY22-12))*(1-Premissas!$D$22),0)</f>
        <v>0.7340457656</v>
      </c>
      <c r="CF22" s="58" t="n">
        <f aca="false">BE22+BG22+CC22+CD22</f>
        <v>152.257083221215</v>
      </c>
      <c r="CG22" s="59" t="n">
        <f aca="false">IF(BU22&gt;0,AY22,"")</f>
        <v>17</v>
      </c>
      <c r="CH22" s="40" t="n">
        <f aca="false">BE22*Premissas!$C$13+BG22*Premissas!$C$14</f>
        <v>9559.54372660138</v>
      </c>
      <c r="CI22" s="40" t="n">
        <f aca="false">CC22*Premissas!$F$13+CD22*Premissas!$F$14</f>
        <v>3980.05605822639</v>
      </c>
      <c r="CJ22" s="40" t="n">
        <f aca="false">CH22+CI22</f>
        <v>13539.5997848278</v>
      </c>
      <c r="CK22" s="40" t="n">
        <f aca="false">CJ22*Premissas!$C$30</f>
        <v>812.375987089667</v>
      </c>
      <c r="CL22" s="40" t="n">
        <f aca="false">CJ22*Premissas!$C$28+CF22*Premissas!$C$29</f>
        <v>548.491963247367</v>
      </c>
      <c r="CM22" s="40" t="n">
        <f aca="false">BN22</f>
        <v>96.1471636033548</v>
      </c>
      <c r="CN22" s="40" t="n">
        <f aca="false">BQ22</f>
        <v>3395</v>
      </c>
      <c r="CO22" s="40" t="n">
        <f aca="false">BR22+BS22</f>
        <v>2548.76351857932</v>
      </c>
      <c r="CP22" s="40" t="n">
        <f aca="false">CK22+CL22+CM22+CN22+CO22</f>
        <v>7400.77863251971</v>
      </c>
      <c r="CQ22" s="56" t="n">
        <f aca="false">CJ22-CP22</f>
        <v>6138.82115230807</v>
      </c>
      <c r="CR22" s="56" t="n">
        <f aca="false">IF(AY22=1,Premissas!$C$8,N(CR21))+CQ22</f>
        <v>16005.5158830302</v>
      </c>
      <c r="CS22" s="40" t="n">
        <f aca="false">BF22*Premissas!$F$13/12+BH22*Premissas!$F$14/12</f>
        <v>2513.35080951014</v>
      </c>
      <c r="CT22" s="40" t="n">
        <f aca="false">N(CT21)+CI22-CS22</f>
        <v>16752.5473732342</v>
      </c>
      <c r="CU22" s="1"/>
      <c r="CV22" s="51" t="n">
        <f aca="false">CV21+1</f>
        <v>17</v>
      </c>
      <c r="CW22" s="52" t="n">
        <f aca="false">EDATE(Premissas!$C$7,CV22-1)</f>
        <v>46784</v>
      </c>
      <c r="CX22" s="53" t="n">
        <f aca="false">Premissas!$E$19*(1+Premissas!$E$20)^(CV22-1)</f>
        <v>91.9559047555184</v>
      </c>
      <c r="CY22" s="54" t="n">
        <f aca="false">IFERROR(CX22/Premissas!$E$25,0)</f>
        <v>306.519682518395</v>
      </c>
      <c r="CZ22" s="53" t="n">
        <f aca="false">(N(DB21)+N(DD21))*Premissas!$E$21+EB22</f>
        <v>13.0000614175009</v>
      </c>
      <c r="DA22" s="55" t="n">
        <f aca="false">DB22+DC22+DD22+DE22</f>
        <v>653.174009810177</v>
      </c>
      <c r="DB22" s="53" t="n">
        <f aca="false">N(DB21)*(1-Premissas!$E$21)+DV22</f>
        <v>285.294775427172</v>
      </c>
      <c r="DC22" s="53" t="n">
        <f aca="false">SUM(INDEX($DZ$6:$DZ$29,MAX(1,CV22-11)):INDEX($DZ$6:$DZ$29,CV22))</f>
        <v>139.268330949443</v>
      </c>
      <c r="DD22" s="53" t="n">
        <f aca="false">N(DD21)*(1-Premissas!$E$21)+DX22</f>
        <v>153.620263691554</v>
      </c>
      <c r="DE22" s="53" t="n">
        <f aca="false">SUM(INDEX($EA$6:$EA$29,MAX(1,CV22-11)):INDEX($EA$6:$EA$29,CV22))</f>
        <v>74.9906397420079</v>
      </c>
      <c r="DF22" s="56" t="n">
        <f aca="false">DB22*Premissas!$C$13+DC22*Premissas!$F$13/12+DD22*Premissas!$C$14+DE22*Premissas!$F$14/12</f>
        <v>42149.2213700557</v>
      </c>
      <c r="DG22" s="40" t="n">
        <f aca="false">DF22*12</f>
        <v>505790.656440669</v>
      </c>
      <c r="DH22" s="40" t="n">
        <f aca="false">IFERROR(DF22/DA22,0)</f>
        <v>64.5298507549389</v>
      </c>
      <c r="DI22" s="40" t="n">
        <f aca="false">DF22*Premissas!$C$30</f>
        <v>2528.95328220334</v>
      </c>
      <c r="DJ22" s="40" t="n">
        <f aca="false">DF22*Premissas!$C$28+EC22*Premissas!$C$29</f>
        <v>1706.58432327023</v>
      </c>
      <c r="DK22" s="40" t="n">
        <f aca="false">DA22*Premissas!$C$31</f>
        <v>326.587004905089</v>
      </c>
      <c r="DL22" s="40" t="n">
        <f aca="false">DF22-DI22-DJ22-DK22</f>
        <v>37587.0967596771</v>
      </c>
      <c r="DM22" s="57" t="n">
        <f aca="false">IFERROR(DL22/DF22,0)</f>
        <v>0.89176254122645</v>
      </c>
      <c r="DN22" s="40" t="n">
        <f aca="false">SUMPRODUCT(Premissas!$C$42:$C$61,--(Premissas!$D$42:$D$61&lt;=CV22))</f>
        <v>3395</v>
      </c>
      <c r="DO22" s="40" t="n">
        <f aca="false">Premissas!$C$34*(1+Premissas!$C$35)^(CV22-1)</f>
        <v>2407.05965864818</v>
      </c>
      <c r="DP22" s="40" t="n">
        <f aca="false">CX22*Premissas!$C$36*Premissas!$C$37</f>
        <v>551.73542853311</v>
      </c>
      <c r="DQ22" s="40" t="n">
        <f aca="false">DI22+DJ22+DK22+DN22+DO22+DP22</f>
        <v>10915.91969756</v>
      </c>
      <c r="DR22" s="56" t="n">
        <f aca="false">DF22-DQ22</f>
        <v>31233.3016724958</v>
      </c>
      <c r="DS22" s="40" t="n">
        <f aca="false">N(DS21)+DR22</f>
        <v>161048.770512378</v>
      </c>
      <c r="DT22" s="40" t="n">
        <f aca="false">IFERROR((DO22+DP22)/CX22,0)</f>
        <v>32.1762381116013</v>
      </c>
      <c r="DU22" s="54" t="n">
        <f aca="false">IFERROR(DN22/(DL22/DA22),0)</f>
        <v>58.9969950987139</v>
      </c>
      <c r="DV22" s="58" t="n">
        <f aca="false">CX22*(1-Premissas!$E$23)*(1-Premissas!$E$24)</f>
        <v>41.8399366637609</v>
      </c>
      <c r="DW22" s="58" t="n">
        <f aca="false">CX22*(1-Premissas!$E$23)*Premissas!$E$24</f>
        <v>17.9314014273261</v>
      </c>
      <c r="DX22" s="58" t="n">
        <f aca="false">CX22*Premissas!$E$23*(1-Premissas!$E$24)</f>
        <v>22.529196665102</v>
      </c>
      <c r="DY22" s="58" t="n">
        <f aca="false">CX22*Premissas!$E$23*Premissas!$E$24</f>
        <v>9.65536999932943</v>
      </c>
      <c r="DZ22" s="58" t="n">
        <f aca="false">DW22+IF(CV22&gt;12,INDEX($DW$6:$DW$29,CV22-12)*Premissas!$E$22,0)</f>
        <v>21.6134367297261</v>
      </c>
      <c r="EA22" s="58" t="n">
        <f aca="false">DY22+IF(CV22&gt;12,INDEX($DY$6:$DY$29,CV22-12)*Premissas!$E$22,0)</f>
        <v>11.6380043929294</v>
      </c>
      <c r="EB22" s="58" t="n">
        <f aca="false">IF(CV22&gt;12,(INDEX($DW$6:$DW$29,CV22-12)+INDEX($DY$6:$DY$29,CV22-12))*(1-Premissas!$E$22),0)</f>
        <v>1.416167424</v>
      </c>
      <c r="EC22" s="58" t="n">
        <f aca="false">DB22+DD22+DZ22+EA22</f>
        <v>472.166480241381</v>
      </c>
      <c r="ED22" s="59" t="n">
        <f aca="false">IF(DR22&gt;0,CV22,"")</f>
        <v>17</v>
      </c>
      <c r="EE22" s="40" t="n">
        <f aca="false">DB22*Premissas!$C$13+DD22*Premissas!$C$14</f>
        <v>30021.7886757209</v>
      </c>
      <c r="EF22" s="40" t="n">
        <f aca="false">DZ22*Premissas!$F$13+EA22*Premissas!$F$14</f>
        <v>22585.0770907712</v>
      </c>
      <c r="EG22" s="40" t="n">
        <f aca="false">EE22+EF22</f>
        <v>52606.8657664921</v>
      </c>
      <c r="EH22" s="40" t="n">
        <f aca="false">EG22*Premissas!$C$30</f>
        <v>3156.41194598952</v>
      </c>
      <c r="EI22" s="40" t="n">
        <f aca="false">EG22*Premissas!$C$28+EC22*Premissas!$C$29</f>
        <v>2072.6018771455</v>
      </c>
      <c r="EJ22" s="40" t="n">
        <f aca="false">DK22</f>
        <v>326.587004905089</v>
      </c>
      <c r="EK22" s="40" t="n">
        <f aca="false">DN22</f>
        <v>3395</v>
      </c>
      <c r="EL22" s="40" t="n">
        <f aca="false">DO22+DP22</f>
        <v>2958.79508718129</v>
      </c>
      <c r="EM22" s="40" t="n">
        <f aca="false">EH22+EI22+EJ22+EK22+EL22</f>
        <v>11909.3959152214</v>
      </c>
      <c r="EN22" s="56" t="n">
        <f aca="false">EG22-EM22</f>
        <v>40697.4698512707</v>
      </c>
      <c r="EO22" s="56" t="n">
        <f aca="false">IF(CV22=1,Premissas!$C$8,N(EO21))+EN22</f>
        <v>238623.84426011</v>
      </c>
      <c r="EP22" s="40" t="n">
        <f aca="false">DC22*Premissas!$F$13/12+DE22*Premissas!$F$14/12</f>
        <v>12127.4326943349</v>
      </c>
      <c r="EQ22" s="40" t="n">
        <f aca="false">N(EQ21)+EF22-EP22</f>
        <v>85718.3135334059</v>
      </c>
      <c r="ER22" s="1"/>
      <c r="ES22" s="1"/>
      <c r="ET22" s="1"/>
      <c r="EU22" s="1"/>
      <c r="EV22" s="1"/>
      <c r="EW22" s="1"/>
      <c r="EX22" s="1"/>
      <c r="EY22" s="1"/>
    </row>
    <row r="23" customFormat="false" ht="15" hidden="false" customHeight="false" outlineLevel="0" collapsed="false">
      <c r="A23" s="1"/>
      <c r="B23" s="51" t="n">
        <f aca="false">B22+1</f>
        <v>18</v>
      </c>
      <c r="C23" s="52" t="n">
        <f aca="false">EDATE(Premissas!$C$7,B23-1)</f>
        <v>46813</v>
      </c>
      <c r="D23" s="53" t="n">
        <f aca="false">Premissas!$C$19*(1+Premissas!$C$20)^(B23-1)</f>
        <v>6.61139052908701</v>
      </c>
      <c r="E23" s="54" t="n">
        <f aca="false">IFERROR(D23/Premissas!$C$25,0)</f>
        <v>66.1139052908701</v>
      </c>
      <c r="F23" s="53" t="n">
        <f aca="false">(N(H22)+N(J22))*Premissas!$C$21+AH23</f>
        <v>3.92486705782744</v>
      </c>
      <c r="G23" s="55" t="n">
        <f aca="false">H23+I23+J23+K23</f>
        <v>56.4919844433093</v>
      </c>
      <c r="H23" s="53" t="n">
        <f aca="false">N(H22)*(1-Premissas!$C$21)+AB23</f>
        <v>41.1569084297583</v>
      </c>
      <c r="I23" s="53" t="n">
        <f aca="false">SUM(INDEX($AF$6:$AF$29,MAX(1,B23-11)):INDEX($AF$6:$AF$29,B23))</f>
        <v>6.86127834705458</v>
      </c>
      <c r="J23" s="53" t="n">
        <f aca="false">N(J22)*(1-Premissas!$C$21)+AD23</f>
        <v>7.26298384054558</v>
      </c>
      <c r="K23" s="53" t="n">
        <f aca="false">SUM(INDEX($AG$6:$AG$29,MAX(1,B23-11)):INDEX($AG$6:$AG$29,B23))</f>
        <v>1.21081382595081</v>
      </c>
      <c r="L23" s="56" t="n">
        <f aca="false">H23*Premissas!$C$13+I23*Premissas!$F$13/12+J23*Premissas!$C$14+K23*Premissas!$F$14/12</f>
        <v>3444.22351975811</v>
      </c>
      <c r="M23" s="40" t="n">
        <f aca="false">L23*12</f>
        <v>41330.6822370974</v>
      </c>
      <c r="N23" s="40" t="n">
        <f aca="false">IFERROR(L23/G23,0)</f>
        <v>60.9683577891383</v>
      </c>
      <c r="O23" s="40" t="n">
        <f aca="false">L23*Premissas!$C$30</f>
        <v>206.653411185487</v>
      </c>
      <c r="P23" s="40" t="n">
        <f aca="false">L23*Premissas!$C$28+AI23*Premissas!$C$29</f>
        <v>144.71113739919</v>
      </c>
      <c r="Q23" s="40" t="n">
        <f aca="false">G23*Premissas!$C$31</f>
        <v>28.2459922216546</v>
      </c>
      <c r="R23" s="40" t="n">
        <f aca="false">L23-O23-P23-Q23</f>
        <v>3064.61297895178</v>
      </c>
      <c r="S23" s="57" t="n">
        <f aca="false">IFERROR(R23/L23,0)</f>
        <v>0.889783418924858</v>
      </c>
      <c r="T23" s="40" t="n">
        <f aca="false">SUMPRODUCT(Premissas!$C$42:$C$61,--(Premissas!$D$42:$D$61&lt;=B23))</f>
        <v>3395</v>
      </c>
      <c r="U23" s="40" t="n">
        <f aca="false">Premissas!$C$34*(1+Premissas!$C$35)^(B23-1)</f>
        <v>2479.27144840763</v>
      </c>
      <c r="V23" s="40" t="n">
        <f aca="false">D23*Premissas!$C$36*Premissas!$C$37</f>
        <v>39.6683431745221</v>
      </c>
      <c r="W23" s="40" t="n">
        <f aca="false">O23+P23+Q23+T23+U23+V23</f>
        <v>6293.55033238848</v>
      </c>
      <c r="X23" s="56" t="n">
        <f aca="false">L23-W23</f>
        <v>-2849.32681263037</v>
      </c>
      <c r="Y23" s="40" t="n">
        <f aca="false">N(Y22)+X23</f>
        <v>-58415.9042128699</v>
      </c>
      <c r="Z23" s="40" t="n">
        <f aca="false">IFERROR((U23+V23)/D23,0)</f>
        <v>381</v>
      </c>
      <c r="AA23" s="54" t="n">
        <f aca="false">IFERROR(T23/(R23/G23),0)</f>
        <v>62.5822211490584</v>
      </c>
      <c r="AB23" s="58" t="n">
        <f aca="false">D23*(1-Premissas!$C$23)*(1-Premissas!$C$24)</f>
        <v>5.05771375475156</v>
      </c>
      <c r="AC23" s="58" t="n">
        <f aca="false">D23*(1-Premissas!$C$23)*Premissas!$C$24</f>
        <v>0.561968194972396</v>
      </c>
      <c r="AD23" s="58" t="n">
        <f aca="false">D23*Premissas!$C$23*(1-Premissas!$C$24)</f>
        <v>0.892537721426746</v>
      </c>
      <c r="AE23" s="58" t="n">
        <f aca="false">D23*Premissas!$C$23*Premissas!$C$24</f>
        <v>0.0991708579363051</v>
      </c>
      <c r="AF23" s="58" t="n">
        <f aca="false">AC23+IF(B23&gt;12,INDEX($AC$6:$AC$29,B23-12)*Premissas!$C$22,0)</f>
        <v>0.759044787603396</v>
      </c>
      <c r="AG23" s="58" t="n">
        <f aca="false">AE23+IF(B23&gt;12,INDEX($AE$6:$AE$29,B23-12)*Premissas!$C$22,0)</f>
        <v>0.133949080165305</v>
      </c>
      <c r="AH23" s="58" t="n">
        <f aca="false">IF(B23&gt;12,(INDEX($AC$6:$AC$29,B23-12)+INDEX($AE$6:$AE$29,B23-12))*(1-Premissas!$C$22),0)</f>
        <v>0.23185481486</v>
      </c>
      <c r="AI23" s="58" t="n">
        <f aca="false">H23+J23+AF23+AG23</f>
        <v>49.3128861380726</v>
      </c>
      <c r="AJ23" s="59" t="str">
        <f aca="false">IF(X23&gt;0,B23,"")</f>
        <v/>
      </c>
      <c r="AK23" s="40" t="n">
        <f aca="false">H23*Premissas!$C$13+J23*Premissas!$C$14</f>
        <v>3021.40127766696</v>
      </c>
      <c r="AL23" s="40" t="n">
        <f aca="false">AF23*Premissas!$F$13+AG23*Premissas!$F$14</f>
        <v>561.308262469505</v>
      </c>
      <c r="AM23" s="40" t="n">
        <f aca="false">AK23+AL23</f>
        <v>3582.70954013647</v>
      </c>
      <c r="AN23" s="40" t="n">
        <f aca="false">AM23*Premissas!$C$30</f>
        <v>214.962572408188</v>
      </c>
      <c r="AO23" s="40" t="n">
        <f aca="false">AM23*Premissas!$C$28+AI23*Premissas!$C$29</f>
        <v>149.558148112432</v>
      </c>
      <c r="AP23" s="40" t="n">
        <f aca="false">Q23</f>
        <v>28.2459922216546</v>
      </c>
      <c r="AQ23" s="40" t="n">
        <f aca="false">T23</f>
        <v>3395</v>
      </c>
      <c r="AR23" s="40" t="n">
        <f aca="false">U23+V23</f>
        <v>2518.93979158215</v>
      </c>
      <c r="AS23" s="40" t="n">
        <f aca="false">AN23+AO23+AP23+AQ23+AR23</f>
        <v>6306.70650432442</v>
      </c>
      <c r="AT23" s="56" t="n">
        <f aca="false">AM23-AS23</f>
        <v>-2723.99696418796</v>
      </c>
      <c r="AU23" s="56" t="n">
        <f aca="false">IF(B23=1,Premissas!$C$8,N(AU22))+AT23</f>
        <v>-56009.0958996805</v>
      </c>
      <c r="AV23" s="40" t="n">
        <f aca="false">I23*Premissas!$F$13/12+K23*Premissas!$F$14/12</f>
        <v>422.822242091152</v>
      </c>
      <c r="AW23" s="40" t="n">
        <f aca="false">N(AW22)+AL23-AV23</f>
        <v>2659.45669965677</v>
      </c>
      <c r="AX23" s="1"/>
      <c r="AY23" s="51" t="n">
        <f aca="false">AY22+1</f>
        <v>18</v>
      </c>
      <c r="AZ23" s="52" t="n">
        <f aca="false">EDATE(Premissas!$C$7,AY23-1)</f>
        <v>46813</v>
      </c>
      <c r="BA23" s="53" t="n">
        <f aca="false">Premissas!$D$19*(1+Premissas!$D$20)^(AY23-1)</f>
        <v>25.2705216877199</v>
      </c>
      <c r="BB23" s="54" t="n">
        <f aca="false">IFERROR(BA23/Premissas!$D$25,0)</f>
        <v>126.3526084386</v>
      </c>
      <c r="BC23" s="53" t="n">
        <f aca="false">(N(BE22)+N(BG22))*Premissas!$D$21+CE23</f>
        <v>8.09394863784749</v>
      </c>
      <c r="BD23" s="55" t="n">
        <f aca="false">BE23+BF23+BG23+BH23</f>
        <v>209.470900256582</v>
      </c>
      <c r="BE23" s="53" t="n">
        <f aca="false">N(BE22)*(1-Premissas!$D$21)+BY23</f>
        <v>119.308718290973</v>
      </c>
      <c r="BF23" s="53" t="n">
        <f aca="false">SUM(INDEX($CC$6:$CC$29,MAX(1,AY23-11)):INDEX($CC$6:$CC$29,AY23))</f>
        <v>37.7944569014638</v>
      </c>
      <c r="BG23" s="53" t="n">
        <f aca="false">N(BG22)*(1-Premissas!$D$21)+CA23</f>
        <v>39.7695727636576</v>
      </c>
      <c r="BH23" s="53" t="n">
        <f aca="false">SUM(INDEX($CD$6:$CD$29,MAX(1,AY23-11)):INDEX($CD$6:$CD$29,AY23))</f>
        <v>12.5981523004879</v>
      </c>
      <c r="BI23" s="56" t="n">
        <f aca="false">BE23*Premissas!$C$13+BF23*Premissas!$F$13/12+BG23*Premissas!$C$14+BH23*Premissas!$F$14/12</f>
        <v>13149.6765011487</v>
      </c>
      <c r="BJ23" s="40" t="n">
        <f aca="false">BI23*12</f>
        <v>157796.118013784</v>
      </c>
      <c r="BK23" s="40" t="n">
        <f aca="false">IFERROR(BI23/BD23,0)</f>
        <v>62.7756718715658</v>
      </c>
      <c r="BL23" s="40" t="n">
        <f aca="false">BI23*Premissas!$C$30</f>
        <v>788.98059006892</v>
      </c>
      <c r="BM23" s="40" t="n">
        <f aca="false">BI23*Premissas!$C$28+CF23*Premissas!$C$29</f>
        <v>541.378291644334</v>
      </c>
      <c r="BN23" s="40" t="n">
        <f aca="false">BD23*Premissas!$C$31</f>
        <v>104.735450128291</v>
      </c>
      <c r="BO23" s="40" t="n">
        <f aca="false">BI23-BL23-BM23-BN23</f>
        <v>11714.5821693071</v>
      </c>
      <c r="BP23" s="57" t="n">
        <f aca="false">IFERROR(BO23/BI23,0)</f>
        <v>0.890864666388091</v>
      </c>
      <c r="BQ23" s="40" t="n">
        <f aca="false">SUMPRODUCT(Premissas!$C$42:$C$61,--(Premissas!$D$42:$D$61&lt;=AY23))</f>
        <v>3395</v>
      </c>
      <c r="BR23" s="40" t="n">
        <f aca="false">Premissas!$C$34*(1+Premissas!$C$35)^(AY23-1)</f>
        <v>2479.27144840763</v>
      </c>
      <c r="BS23" s="40" t="n">
        <f aca="false">BA23*Premissas!$C$36*Premissas!$C$37</f>
        <v>151.62313012632</v>
      </c>
      <c r="BT23" s="40" t="n">
        <f aca="false">BL23+BM23+BN23+BQ23+BR23+BS23</f>
        <v>7460.98891037549</v>
      </c>
      <c r="BU23" s="56" t="n">
        <f aca="false">BI23-BT23</f>
        <v>5688.68759077318</v>
      </c>
      <c r="BV23" s="40" t="n">
        <f aca="false">N(BV22)+BU23</f>
        <v>6533.14810102645</v>
      </c>
      <c r="BW23" s="40" t="n">
        <f aca="false">IFERROR((BR23+BS23)/BA23,0)</f>
        <v>104.109230946839</v>
      </c>
      <c r="BX23" s="54" t="n">
        <f aca="false">IFERROR(BQ23/(BO23/BD23),0)</f>
        <v>60.7067069139145</v>
      </c>
      <c r="BY23" s="58" t="n">
        <f aca="false">BA23*(1-Premissas!$D$23)*(1-Premissas!$D$24)</f>
        <v>15.1623130126319</v>
      </c>
      <c r="BZ23" s="58" t="n">
        <f aca="false">BA23*(1-Premissas!$D$23)*Premissas!$D$24</f>
        <v>3.79057825315799</v>
      </c>
      <c r="CA23" s="58" t="n">
        <f aca="false">BA23*Premissas!$D$23*(1-Premissas!$D$24)</f>
        <v>5.05410433754398</v>
      </c>
      <c r="CB23" s="58" t="n">
        <f aca="false">BA23*Premissas!$D$23*Premissas!$D$24</f>
        <v>1.263526084386</v>
      </c>
      <c r="CC23" s="58" t="n">
        <f aca="false">BZ23+IF(AY23&gt;12,INDEX($BZ$6:$BZ$29,AY23-12)*Premissas!$D$22,0)</f>
        <v>4.88456860310399</v>
      </c>
      <c r="CD23" s="58" t="n">
        <f aca="false">CB23+IF(AY23&gt;12,INDEX($CB$6:$CB$29,AY23-12)*Premissas!$D$22,0)</f>
        <v>1.628189534368</v>
      </c>
      <c r="CE23" s="58" t="n">
        <f aca="false">IF(AY23&gt;12,(INDEX($BZ$6:$BZ$29,AY23-12)+INDEX($CB$6:$CB$29,AY23-12))*(1-Premissas!$D$22),0)</f>
        <v>0.785428969192</v>
      </c>
      <c r="CF23" s="58" t="n">
        <f aca="false">BE23+BG23+CC23+CD23</f>
        <v>165.591049192102</v>
      </c>
      <c r="CG23" s="59" t="n">
        <f aca="false">IF(BU23&gt;0,AY23,"")</f>
        <v>18</v>
      </c>
      <c r="CH23" s="40" t="n">
        <f aca="false">BE23*Premissas!$C$13+BG23*Premissas!$C$14</f>
        <v>10403.7202349728</v>
      </c>
      <c r="CI23" s="40" t="n">
        <f aca="false">CC23*Premissas!$F$13+CD23*Premissas!$F$14</f>
        <v>4258.65998230224</v>
      </c>
      <c r="CJ23" s="40" t="n">
        <f aca="false">CH23+CI23</f>
        <v>14662.3802172751</v>
      </c>
      <c r="CK23" s="40" t="n">
        <f aca="false">CJ23*Premissas!$C$30</f>
        <v>879.742813036504</v>
      </c>
      <c r="CL23" s="40" t="n">
        <f aca="false">CJ23*Premissas!$C$28+CF23*Premissas!$C$29</f>
        <v>594.322921708757</v>
      </c>
      <c r="CM23" s="40" t="n">
        <f aca="false">BN23</f>
        <v>104.735450128291</v>
      </c>
      <c r="CN23" s="40" t="n">
        <f aca="false">BQ23</f>
        <v>3395</v>
      </c>
      <c r="CO23" s="40" t="n">
        <f aca="false">BR23+BS23</f>
        <v>2630.89457853395</v>
      </c>
      <c r="CP23" s="40" t="n">
        <f aca="false">CK23+CL23+CM23+CN23+CO23</f>
        <v>7604.6957634075</v>
      </c>
      <c r="CQ23" s="56" t="n">
        <f aca="false">CJ23-CP23</f>
        <v>7057.68445386756</v>
      </c>
      <c r="CR23" s="56" t="n">
        <f aca="false">IF(AY23=1,Premissas!$C$8,N(CR22))+CQ23</f>
        <v>23063.2003368978</v>
      </c>
      <c r="CS23" s="40" t="n">
        <f aca="false">BF23*Premissas!$F$13/12+BH23*Premissas!$F$14/12</f>
        <v>2745.95626617585</v>
      </c>
      <c r="CT23" s="40" t="n">
        <f aca="false">N(CT22)+CI23-CS23</f>
        <v>18265.2510893606</v>
      </c>
      <c r="CU23" s="1"/>
      <c r="CV23" s="51" t="n">
        <f aca="false">CV22+1</f>
        <v>18</v>
      </c>
      <c r="CW23" s="52" t="n">
        <f aca="false">EDATE(Premissas!$C$7,CV23-1)</f>
        <v>46813</v>
      </c>
      <c r="CX23" s="53" t="n">
        <f aca="false">Premissas!$E$19*(1+Premissas!$E$20)^(CV23-1)</f>
        <v>102.990613326181</v>
      </c>
      <c r="CY23" s="54" t="n">
        <f aca="false">IFERROR(CX23/Premissas!$E$25,0)</f>
        <v>343.302044420602</v>
      </c>
      <c r="CZ23" s="53" t="n">
        <f aca="false">(N(DB22)+N(DD22))*Premissas!$E$21+EB23</f>
        <v>14.7535586884418</v>
      </c>
      <c r="DA23" s="55" t="n">
        <f aca="false">DB23+DC23+DD23+DE23</f>
        <v>741.411064447916</v>
      </c>
      <c r="DB23" s="53" t="n">
        <f aca="false">N(DB22)*(1-Premissas!$E$21)+DV23</f>
        <v>323.596661227769</v>
      </c>
      <c r="DC23" s="53" t="n">
        <f aca="false">SUM(INDEX($DZ$6:$DZ$29,MAX(1,CV23-11)):INDEX($DZ$6:$DZ$29,CV23))</f>
        <v>158.320530663377</v>
      </c>
      <c r="DD23" s="53" t="n">
        <f aca="false">N(DD22)*(1-Premissas!$E$21)+DX23</f>
        <v>174.244356045722</v>
      </c>
      <c r="DE23" s="53" t="n">
        <f aca="false">SUM(INDEX($EA$6:$EA$29,MAX(1,CV23-11)):INDEX($EA$6:$EA$29,CV23))</f>
        <v>85.2495165110489</v>
      </c>
      <c r="DF23" s="56" t="n">
        <f aca="false">DB23*Premissas!$C$13+DC23*Premissas!$F$13/12+DD23*Premissas!$C$14+DE23*Premissas!$F$14/12</f>
        <v>47838.8164991618</v>
      </c>
      <c r="DG23" s="40" t="n">
        <f aca="false">DF23*12</f>
        <v>574065.797989942</v>
      </c>
      <c r="DH23" s="40" t="n">
        <f aca="false">IFERROR(DF23/DA23,0)</f>
        <v>64.5240121076214</v>
      </c>
      <c r="DI23" s="40" t="n">
        <f aca="false">DF23*Premissas!$C$30</f>
        <v>2870.32898994971</v>
      </c>
      <c r="DJ23" s="40" t="n">
        <f aca="false">DF23*Premissas!$C$28+EC23*Premissas!$C$29</f>
        <v>1936.54906682279</v>
      </c>
      <c r="DK23" s="40" t="n">
        <f aca="false">DA23*Premissas!$C$31</f>
        <v>370.705532223958</v>
      </c>
      <c r="DL23" s="40" t="n">
        <f aca="false">DF23-DI23-DJ23-DK23</f>
        <v>42661.2329101653</v>
      </c>
      <c r="DM23" s="57" t="n">
        <f aca="false">IFERROR(DL23/DF23,0)</f>
        <v>0.891770240823429</v>
      </c>
      <c r="DN23" s="40" t="n">
        <f aca="false">SUMPRODUCT(Premissas!$C$42:$C$61,--(Premissas!$D$42:$D$61&lt;=CV23))</f>
        <v>3395</v>
      </c>
      <c r="DO23" s="40" t="n">
        <f aca="false">Premissas!$C$34*(1+Premissas!$C$35)^(CV23-1)</f>
        <v>2479.27144840763</v>
      </c>
      <c r="DP23" s="40" t="n">
        <f aca="false">CX23*Premissas!$C$36*Premissas!$C$37</f>
        <v>617.943679957084</v>
      </c>
      <c r="DQ23" s="40" t="n">
        <f aca="false">DI23+DJ23+DK23+DN23+DO23+DP23</f>
        <v>11669.7987173612</v>
      </c>
      <c r="DR23" s="56" t="n">
        <f aca="false">DF23-DQ23</f>
        <v>36169.0177818006</v>
      </c>
      <c r="DS23" s="40" t="n">
        <f aca="false">N(DS22)+DR23</f>
        <v>197217.788294178</v>
      </c>
      <c r="DT23" s="40" t="n">
        <f aca="false">IFERROR((DO23+DP23)/CX23,0)</f>
        <v>30.0727904062048</v>
      </c>
      <c r="DU23" s="54" t="n">
        <f aca="false">IFERROR(DN23/(DL23/DA23),0)</f>
        <v>59.0018241878073</v>
      </c>
      <c r="DV23" s="58" t="n">
        <f aca="false">CX23*(1-Premissas!$E$23)*(1-Premissas!$E$24)</f>
        <v>46.8607290634122</v>
      </c>
      <c r="DW23" s="58" t="n">
        <f aca="false">CX23*(1-Premissas!$E$23)*Premissas!$E$24</f>
        <v>20.0831695986052</v>
      </c>
      <c r="DX23" s="58" t="n">
        <f aca="false">CX23*Premissas!$E$23*(1-Premissas!$E$24)</f>
        <v>25.2327002649142</v>
      </c>
      <c r="DY23" s="58" t="n">
        <f aca="false">CX23*Premissas!$E$23*Premissas!$E$24</f>
        <v>10.814014399249</v>
      </c>
      <c r="DZ23" s="58" t="n">
        <f aca="false">DW23+IF(CV23&gt;12,INDEX($DW$6:$DW$29,CV23-12)*Premissas!$E$22,0)</f>
        <v>24.2070491372932</v>
      </c>
      <c r="EA23" s="58" t="n">
        <f aca="false">DY23+IF(CV23&gt;12,INDEX($DY$6:$DY$29,CV23-12)*Premissas!$E$22,0)</f>
        <v>13.034564920081</v>
      </c>
      <c r="EB23" s="58" t="n">
        <f aca="false">IF(CV23&gt;12,(INDEX($DW$6:$DW$29,CV23-12)+INDEX($DY$6:$DY$29,CV23-12))*(1-Premissas!$E$22),0)</f>
        <v>1.58610751488</v>
      </c>
      <c r="EC23" s="58" t="n">
        <f aca="false">DB23+DD23+DZ23+EA23</f>
        <v>535.082631330865</v>
      </c>
      <c r="ED23" s="59" t="n">
        <f aca="false">IF(DR23&gt;0,CV23,"")</f>
        <v>18</v>
      </c>
      <c r="EE23" s="40" t="n">
        <f aca="false">DB23*Premissas!$C$13+DD23*Premissas!$C$14</f>
        <v>34052.3255815068</v>
      </c>
      <c r="EF23" s="40" t="n">
        <f aca="false">DZ23*Premissas!$F$13+EA23*Premissas!$F$14</f>
        <v>25295.2863416637</v>
      </c>
      <c r="EG23" s="40" t="n">
        <f aca="false">EE23+EF23</f>
        <v>59347.6119231705</v>
      </c>
      <c r="EH23" s="40" t="n">
        <f aca="false">EG23*Premissas!$C$30</f>
        <v>3560.85671539023</v>
      </c>
      <c r="EI23" s="40" t="n">
        <f aca="false">EG23*Premissas!$C$28+EC23*Premissas!$C$29</f>
        <v>2339.35690666309</v>
      </c>
      <c r="EJ23" s="40" t="n">
        <f aca="false">DK23</f>
        <v>370.705532223958</v>
      </c>
      <c r="EK23" s="40" t="n">
        <f aca="false">DN23</f>
        <v>3395</v>
      </c>
      <c r="EL23" s="40" t="n">
        <f aca="false">DO23+DP23</f>
        <v>3097.21512836471</v>
      </c>
      <c r="EM23" s="40" t="n">
        <f aca="false">EH23+EI23+EJ23+EK23+EL23</f>
        <v>12763.134282642</v>
      </c>
      <c r="EN23" s="56" t="n">
        <f aca="false">EG23-EM23</f>
        <v>46584.4776405285</v>
      </c>
      <c r="EO23" s="56" t="n">
        <f aca="false">IF(CV23=1,Premissas!$C$8,N(EO22))+EN23</f>
        <v>285208.321900639</v>
      </c>
      <c r="EP23" s="40" t="n">
        <f aca="false">DC23*Premissas!$F$13/12+DE23*Premissas!$F$14/12</f>
        <v>13786.490917655</v>
      </c>
      <c r="EQ23" s="40" t="n">
        <f aca="false">N(EQ22)+EF23-EP23</f>
        <v>97227.1089574146</v>
      </c>
      <c r="ER23" s="1"/>
      <c r="ES23" s="1"/>
      <c r="ET23" s="1"/>
      <c r="EU23" s="1"/>
      <c r="EV23" s="1"/>
      <c r="EW23" s="1"/>
      <c r="EX23" s="1"/>
      <c r="EY23" s="1"/>
    </row>
    <row r="24" customFormat="false" ht="15" hidden="false" customHeight="false" outlineLevel="0" collapsed="false">
      <c r="A24" s="1"/>
      <c r="B24" s="51" t="n">
        <f aca="false">B23+1</f>
        <v>19</v>
      </c>
      <c r="C24" s="52" t="n">
        <f aca="false">EDATE(Premissas!$C$7,B24-1)</f>
        <v>46844</v>
      </c>
      <c r="D24" s="53" t="n">
        <f aca="false">Premissas!$C$19*(1+Premissas!$C$20)^(B24-1)</f>
        <v>6.80973224495962</v>
      </c>
      <c r="E24" s="54" t="n">
        <f aca="false">IFERROR(D24/Premissas!$C$25,0)</f>
        <v>68.0973224495962</v>
      </c>
      <c r="F24" s="53" t="n">
        <f aca="false">(N(H23)+N(J23))*Premissas!$C$21+AH24</f>
        <v>4.11240184093011</v>
      </c>
      <c r="G24" s="55" t="n">
        <f aca="false">H24+I24+J24+K24</f>
        <v>59.1893148473388</v>
      </c>
      <c r="H24" s="53" t="n">
        <f aca="false">N(H23)*(1-Premissas!$C$21)+AB24</f>
        <v>43.0738009227717</v>
      </c>
      <c r="I24" s="53" t="n">
        <f aca="false">SUM(INDEX($AF$6:$AF$29,MAX(1,B24-11)):INDEX($AF$6:$AF$29,B24))</f>
        <v>7.23711669746622</v>
      </c>
      <c r="J24" s="53" t="n">
        <f aca="false">N(J23)*(1-Premissas!$C$21)+AD24</f>
        <v>7.60125898637148</v>
      </c>
      <c r="K24" s="53" t="n">
        <f aca="false">SUM(INDEX($AG$6:$AG$29,MAX(1,B24-11)):INDEX($AG$6:$AG$29,B24))</f>
        <v>1.27713824072933</v>
      </c>
      <c r="L24" s="56" t="n">
        <f aca="false">H24*Premissas!$C$13+I24*Premissas!$F$13/12+J24*Premissas!$C$14+K24*Premissas!$F$14/12</f>
        <v>3608.10679768442</v>
      </c>
      <c r="M24" s="40" t="n">
        <f aca="false">L24*12</f>
        <v>43297.2815722131</v>
      </c>
      <c r="N24" s="40" t="n">
        <f aca="false">IFERROR(L24/G24,0)</f>
        <v>60.9587525550931</v>
      </c>
      <c r="O24" s="40" t="n">
        <f aca="false">L24*Premissas!$C$30</f>
        <v>216.486407861065</v>
      </c>
      <c r="P24" s="40" t="n">
        <f aca="false">L24*Premissas!$C$28+AI24*Premissas!$C$29</f>
        <v>151.565211279498</v>
      </c>
      <c r="Q24" s="40" t="n">
        <f aca="false">G24*Premissas!$C$31</f>
        <v>29.5946574236694</v>
      </c>
      <c r="R24" s="40" t="n">
        <f aca="false">L24-O24-P24-Q24</f>
        <v>3210.46052112019</v>
      </c>
      <c r="S24" s="57" t="n">
        <f aca="false">IFERROR(R24/L24,0)</f>
        <v>0.889790879577226</v>
      </c>
      <c r="T24" s="40" t="n">
        <f aca="false">SUMPRODUCT(Premissas!$C$42:$C$61,--(Premissas!$D$42:$D$61&lt;=B24))</f>
        <v>3395</v>
      </c>
      <c r="U24" s="40" t="n">
        <f aca="false">Premissas!$C$34*(1+Premissas!$C$35)^(B24-1)</f>
        <v>2553.64959185986</v>
      </c>
      <c r="V24" s="40" t="n">
        <f aca="false">D24*Premissas!$C$36*Premissas!$C$37</f>
        <v>40.8583934697577</v>
      </c>
      <c r="W24" s="40" t="n">
        <f aca="false">O24+P24+Q24+T24+U24+V24</f>
        <v>6387.15426189385</v>
      </c>
      <c r="X24" s="56" t="n">
        <f aca="false">L24-W24</f>
        <v>-2779.04746420942</v>
      </c>
      <c r="Y24" s="40" t="n">
        <f aca="false">N(Y23)+X24</f>
        <v>-61194.9516770793</v>
      </c>
      <c r="Z24" s="40" t="n">
        <f aca="false">IFERROR((U24+V24)/D24,0)</f>
        <v>381</v>
      </c>
      <c r="AA24" s="54" t="n">
        <f aca="false">IFERROR(T24/(R24/G24),0)</f>
        <v>62.5915573746413</v>
      </c>
      <c r="AB24" s="58" t="n">
        <f aca="false">D24*(1-Premissas!$C$23)*(1-Premissas!$C$24)</f>
        <v>5.20944516739411</v>
      </c>
      <c r="AC24" s="58" t="n">
        <f aca="false">D24*(1-Premissas!$C$23)*Premissas!$C$24</f>
        <v>0.578827240821568</v>
      </c>
      <c r="AD24" s="58" t="n">
        <f aca="false">D24*Premissas!$C$23*(1-Premissas!$C$24)</f>
        <v>0.919313853069549</v>
      </c>
      <c r="AE24" s="58" t="n">
        <f aca="false">D24*Premissas!$C$23*Premissas!$C$24</f>
        <v>0.102145983674394</v>
      </c>
      <c r="AF24" s="58" t="n">
        <f aca="false">AC24+IF(B24&gt;12,INDEX($AC$6:$AC$29,B24-12)*Premissas!$C$22,0)</f>
        <v>0.781816131231498</v>
      </c>
      <c r="AG24" s="58" t="n">
        <f aca="false">AE24+IF(B24&gt;12,INDEX($AE$6:$AE$29,B24-12)*Premissas!$C$22,0)</f>
        <v>0.137967552570264</v>
      </c>
      <c r="AH24" s="58" t="n">
        <f aca="false">IF(B24&gt;12,(INDEX($AC$6:$AC$29,B24-12)+INDEX($AE$6:$AE$29,B24-12))*(1-Premissas!$C$22),0)</f>
        <v>0.2388104593058</v>
      </c>
      <c r="AI24" s="58" t="n">
        <f aca="false">H24+J24+AF24+AG24</f>
        <v>51.594843592945</v>
      </c>
      <c r="AJ24" s="59" t="str">
        <f aca="false">IF(X24&gt;0,B24,"")</f>
        <v/>
      </c>
      <c r="AK24" s="40" t="n">
        <f aca="false">H24*Premissas!$C$13+J24*Premissas!$C$14</f>
        <v>3162.12373833054</v>
      </c>
      <c r="AL24" s="40" t="n">
        <f aca="false">AF24*Premissas!$F$13+AG24*Premissas!$F$14</f>
        <v>578.14751034359</v>
      </c>
      <c r="AM24" s="40" t="n">
        <f aca="false">AK24+AL24</f>
        <v>3740.27124867413</v>
      </c>
      <c r="AN24" s="40" t="n">
        <f aca="false">AM24*Premissas!$C$30</f>
        <v>224.416274920448</v>
      </c>
      <c r="AO24" s="40" t="n">
        <f aca="false">AM24*Premissas!$C$28+AI24*Premissas!$C$29</f>
        <v>156.190967064137</v>
      </c>
      <c r="AP24" s="40" t="n">
        <f aca="false">Q24</f>
        <v>29.5946574236694</v>
      </c>
      <c r="AQ24" s="40" t="n">
        <f aca="false">T24</f>
        <v>3395</v>
      </c>
      <c r="AR24" s="40" t="n">
        <f aca="false">U24+V24</f>
        <v>2594.50798532961</v>
      </c>
      <c r="AS24" s="40" t="n">
        <f aca="false">AN24+AO24+AP24+AQ24+AR24</f>
        <v>6399.70988473787</v>
      </c>
      <c r="AT24" s="56" t="n">
        <f aca="false">AM24-AS24</f>
        <v>-2659.43863606374</v>
      </c>
      <c r="AU24" s="56" t="n">
        <f aca="false">IF(B24=1,Premissas!$C$8,N(AU23))+AT24</f>
        <v>-58668.5345357442</v>
      </c>
      <c r="AV24" s="40" t="n">
        <f aca="false">I24*Premissas!$F$13/12+K24*Premissas!$F$14/12</f>
        <v>445.983059353886</v>
      </c>
      <c r="AW24" s="40" t="n">
        <f aca="false">N(AW23)+AL24-AV24</f>
        <v>2791.62115064648</v>
      </c>
      <c r="AX24" s="1"/>
      <c r="AY24" s="51" t="n">
        <f aca="false">AY23+1</f>
        <v>19</v>
      </c>
      <c r="AZ24" s="52" t="n">
        <f aca="false">EDATE(Premissas!$C$7,AY24-1)</f>
        <v>46844</v>
      </c>
      <c r="BA24" s="53" t="n">
        <f aca="false">Premissas!$D$19*(1+Premissas!$D$20)^(AY24-1)</f>
        <v>27.0394582058603</v>
      </c>
      <c r="BB24" s="54" t="n">
        <f aca="false">IFERROR(BA24/Premissas!$D$25,0)</f>
        <v>135.197291029302</v>
      </c>
      <c r="BC24" s="53" t="n">
        <f aca="false">(N(BE23)+N(BG23))*Premissas!$D$21+CE24</f>
        <v>8.79432354976695</v>
      </c>
      <c r="BD24" s="55" t="n">
        <f aca="false">BE24+BF24+BG24+BH24</f>
        <v>227.716034912675</v>
      </c>
      <c r="BE24" s="53" t="n">
        <f aca="false">N(BE23)*(1-Premissas!$D$21)+BY24</f>
        <v>129.56695729994</v>
      </c>
      <c r="BF24" s="53" t="n">
        <f aca="false">SUM(INDEX($CC$6:$CC$29,MAX(1,AY24-11)):INDEX($CC$6:$CC$29,AY24))</f>
        <v>41.2200688845662</v>
      </c>
      <c r="BG24" s="53" t="n">
        <f aca="false">N(BG23)*(1-Premissas!$D$21)+CA24</f>
        <v>43.1889857666467</v>
      </c>
      <c r="BH24" s="53" t="n">
        <f aca="false">SUM(INDEX($CD$6:$CD$29,MAX(1,AY24-11)):INDEX($CD$6:$CD$29,AY24))</f>
        <v>13.7400229615221</v>
      </c>
      <c r="BI24" s="56" t="n">
        <f aca="false">BE24*Premissas!$C$13+BF24*Premissas!$F$13/12+BG24*Premissas!$C$14+BH24*Premissas!$F$14/12</f>
        <v>14293.082781363</v>
      </c>
      <c r="BJ24" s="40" t="n">
        <f aca="false">BI24*12</f>
        <v>171516.993376355</v>
      </c>
      <c r="BK24" s="40" t="n">
        <f aca="false">IFERROR(BI24/BD24,0)</f>
        <v>62.7671335786436</v>
      </c>
      <c r="BL24" s="40" t="n">
        <f aca="false">BI24*Premissas!$C$30</f>
        <v>857.584966881777</v>
      </c>
      <c r="BM24" s="40" t="n">
        <f aca="false">BI24*Premissas!$C$28+CF24*Premissas!$C$29</f>
        <v>588.322948541808</v>
      </c>
      <c r="BN24" s="40" t="n">
        <f aca="false">BD24*Premissas!$C$31</f>
        <v>113.858017456338</v>
      </c>
      <c r="BO24" s="40" t="n">
        <f aca="false">BI24-BL24-BM24-BN24</f>
        <v>12733.316848483</v>
      </c>
      <c r="BP24" s="57" t="n">
        <f aca="false">IFERROR(BO24/BI24,0)</f>
        <v>0.890872671995314</v>
      </c>
      <c r="BQ24" s="40" t="n">
        <f aca="false">SUMPRODUCT(Premissas!$C$42:$C$61,--(Premissas!$D$42:$D$61&lt;=AY24))</f>
        <v>3395</v>
      </c>
      <c r="BR24" s="40" t="n">
        <f aca="false">Premissas!$C$34*(1+Premissas!$C$35)^(AY24-1)</f>
        <v>2553.64959185986</v>
      </c>
      <c r="BS24" s="40" t="n">
        <f aca="false">BA24*Premissas!$C$36*Premissas!$C$37</f>
        <v>162.236749235162</v>
      </c>
      <c r="BT24" s="40" t="n">
        <f aca="false">BL24+BM24+BN24+BQ24+BR24+BS24</f>
        <v>7670.65227397494</v>
      </c>
      <c r="BU24" s="56" t="n">
        <f aca="false">BI24-BT24</f>
        <v>6622.43050738801</v>
      </c>
      <c r="BV24" s="40" t="n">
        <f aca="false">N(BV23)+BU24</f>
        <v>13155.5786084145</v>
      </c>
      <c r="BW24" s="40" t="n">
        <f aca="false">IFERROR((BR24+BS24)/BA24,0)</f>
        <v>100.441596145088</v>
      </c>
      <c r="BX24" s="54" t="n">
        <f aca="false">IFERROR(BQ24/(BO24/BD24),0)</f>
        <v>60.714419324344</v>
      </c>
      <c r="BY24" s="58" t="n">
        <f aca="false">BA24*(1-Premissas!$D$23)*(1-Premissas!$D$24)</f>
        <v>16.2236749235162</v>
      </c>
      <c r="BZ24" s="58" t="n">
        <f aca="false">BA24*(1-Premissas!$D$23)*Premissas!$D$24</f>
        <v>4.05591873087905</v>
      </c>
      <c r="CA24" s="58" t="n">
        <f aca="false">BA24*Premissas!$D$23*(1-Premissas!$D$24)</f>
        <v>5.40789164117206</v>
      </c>
      <c r="CB24" s="58" t="n">
        <f aca="false">BA24*Premissas!$D$23*Premissas!$D$24</f>
        <v>1.35197291029302</v>
      </c>
      <c r="CC24" s="58" t="n">
        <f aca="false">BZ24+IF(AY24&gt;12,INDEX($BZ$6:$BZ$29,AY24-12)*Premissas!$D$22,0)</f>
        <v>5.22648840532127</v>
      </c>
      <c r="CD24" s="58" t="n">
        <f aca="false">CB24+IF(AY24&gt;12,INDEX($CB$6:$CB$29,AY24-12)*Premissas!$D$22,0)</f>
        <v>1.74216280177376</v>
      </c>
      <c r="CE24" s="58" t="n">
        <f aca="false">IF(AY24&gt;12,(INDEX($BZ$6:$BZ$29,AY24-12)+INDEX($CB$6:$CB$29,AY24-12))*(1-Premissas!$D$22),0)</f>
        <v>0.84040899703544</v>
      </c>
      <c r="CF24" s="58" t="n">
        <f aca="false">BE24+BG24+CC24+CD24</f>
        <v>179.724594273682</v>
      </c>
      <c r="CG24" s="59" t="n">
        <f aca="false">IF(BU24&gt;0,AY24,"")</f>
        <v>19</v>
      </c>
      <c r="CH24" s="40" t="n">
        <f aca="false">BE24*Premissas!$C$13+BG24*Premissas!$C$14</f>
        <v>11298.2386765548</v>
      </c>
      <c r="CI24" s="40" t="n">
        <f aca="false">CC24*Premissas!$F$13+CD24*Premissas!$F$14</f>
        <v>4556.7661810634</v>
      </c>
      <c r="CJ24" s="40" t="n">
        <f aca="false">CH24+CI24</f>
        <v>15855.0048576182</v>
      </c>
      <c r="CK24" s="40" t="n">
        <f aca="false">CJ24*Premissas!$C$30</f>
        <v>951.300291457091</v>
      </c>
      <c r="CL24" s="40" t="n">
        <f aca="false">CJ24*Premissas!$C$28+CF24*Premissas!$C$29</f>
        <v>642.990221210741</v>
      </c>
      <c r="CM24" s="40" t="n">
        <f aca="false">BN24</f>
        <v>113.858017456338</v>
      </c>
      <c r="CN24" s="40" t="n">
        <f aca="false">BQ24</f>
        <v>3395</v>
      </c>
      <c r="CO24" s="40" t="n">
        <f aca="false">BR24+BS24</f>
        <v>2715.88634109502</v>
      </c>
      <c r="CP24" s="40" t="n">
        <f aca="false">CK24+CL24+CM24+CN24+CO24</f>
        <v>7819.03487121919</v>
      </c>
      <c r="CQ24" s="56" t="n">
        <f aca="false">CJ24-CP24</f>
        <v>8035.969986399</v>
      </c>
      <c r="CR24" s="56" t="n">
        <f aca="false">IF(AY24=1,Premissas!$C$8,N(CR23))+CQ24</f>
        <v>31099.1703232968</v>
      </c>
      <c r="CS24" s="40" t="n">
        <f aca="false">BF24*Premissas!$F$13/12+BH24*Premissas!$F$14/12</f>
        <v>2994.84410480816</v>
      </c>
      <c r="CT24" s="40" t="n">
        <f aca="false">N(CT23)+CI24-CS24</f>
        <v>19827.1731656158</v>
      </c>
      <c r="CU24" s="1"/>
      <c r="CV24" s="51" t="n">
        <f aca="false">CV23+1</f>
        <v>19</v>
      </c>
      <c r="CW24" s="52" t="n">
        <f aca="false">EDATE(Premissas!$C$7,CV24-1)</f>
        <v>46844</v>
      </c>
      <c r="CX24" s="53" t="n">
        <f aca="false">Premissas!$E$19*(1+Premissas!$E$20)^(CV24-1)</f>
        <v>115.349486925322</v>
      </c>
      <c r="CY24" s="54" t="n">
        <f aca="false">IFERROR(CX24/Premissas!$E$25,0)</f>
        <v>384.498289751074</v>
      </c>
      <c r="CZ24" s="53" t="n">
        <f aca="false">(N(DB23)+N(DD23))*Premissas!$E$21+EB24</f>
        <v>16.7116709348703</v>
      </c>
      <c r="DA24" s="55" t="n">
        <f aca="false">DB24+DC24+DD24+DE24</f>
        <v>840.048880438368</v>
      </c>
      <c r="DB24" s="53" t="n">
        <f aca="false">N(DB23)*(1-Premissas!$E$21)+DV24</f>
        <v>366.372777941957</v>
      </c>
      <c r="DC24" s="53" t="n">
        <f aca="false">SUM(INDEX($DZ$6:$DZ$29,MAX(1,CV24-11)):INDEX($DZ$6:$DZ$29,CV24))</f>
        <v>179.658994342982</v>
      </c>
      <c r="DD24" s="53" t="n">
        <f aca="false">N(DD23)*(1-Premissas!$E$21)+DX24</f>
        <v>197.277649661054</v>
      </c>
      <c r="DE24" s="53" t="n">
        <f aca="false">SUM(INDEX($EA$6:$EA$29,MAX(1,CV24-11)):INDEX($EA$6:$EA$29,CV24))</f>
        <v>96.7394584923748</v>
      </c>
      <c r="DF24" s="56" t="n">
        <f aca="false">DB24*Premissas!$C$13+DC24*Premissas!$F$13/12+DD24*Premissas!$C$14+DE24*Premissas!$F$14/12</f>
        <v>54198.3253758196</v>
      </c>
      <c r="DG24" s="40" t="n">
        <f aca="false">DF24*12</f>
        <v>650379.904509836</v>
      </c>
      <c r="DH24" s="40" t="n">
        <f aca="false">IFERROR(DF24/DA24,0)</f>
        <v>64.5180615532003</v>
      </c>
      <c r="DI24" s="40" t="n">
        <f aca="false">DF24*Premissas!$C$30</f>
        <v>3251.89952254918</v>
      </c>
      <c r="DJ24" s="40" t="n">
        <f aca="false">DF24*Premissas!$C$28+EC24*Premissas!$C$29</f>
        <v>2193.56829547385</v>
      </c>
      <c r="DK24" s="40" t="n">
        <f aca="false">DA24*Premissas!$C$31</f>
        <v>420.024440219184</v>
      </c>
      <c r="DL24" s="40" t="n">
        <f aca="false">DF24-DI24-DJ24-DK24</f>
        <v>48332.8331175774</v>
      </c>
      <c r="DM24" s="57" t="n">
        <f aca="false">IFERROR(DL24/DF24,0)</f>
        <v>0.891777241869191</v>
      </c>
      <c r="DN24" s="40" t="n">
        <f aca="false">SUMPRODUCT(Premissas!$C$42:$C$61,--(Premissas!$D$42:$D$61&lt;=CV24))</f>
        <v>3395</v>
      </c>
      <c r="DO24" s="40" t="n">
        <f aca="false">Premissas!$C$34*(1+Premissas!$C$35)^(CV24-1)</f>
        <v>2553.64959185986</v>
      </c>
      <c r="DP24" s="40" t="n">
        <f aca="false">CX24*Premissas!$C$36*Premissas!$C$37</f>
        <v>692.096921551934</v>
      </c>
      <c r="DQ24" s="40" t="n">
        <f aca="false">DI24+DJ24+DK24+DN24+DO24+DP24</f>
        <v>12506.238771654</v>
      </c>
      <c r="DR24" s="56" t="n">
        <f aca="false">DF24-DQ24</f>
        <v>41692.0866041656</v>
      </c>
      <c r="DS24" s="40" t="n">
        <f aca="false">N(DS23)+DR24</f>
        <v>238909.874898344</v>
      </c>
      <c r="DT24" s="40" t="n">
        <f aca="false">IFERROR((DO24+DP24)/CX24,0)</f>
        <v>28.1383697485633</v>
      </c>
      <c r="DU24" s="54" t="n">
        <f aca="false">IFERROR(DN24/(DL24/DA24),0)</f>
        <v>59.0068027287039</v>
      </c>
      <c r="DV24" s="58" t="n">
        <f aca="false">CX24*(1-Premissas!$E$23)*(1-Premissas!$E$24)</f>
        <v>52.4840165510216</v>
      </c>
      <c r="DW24" s="58" t="n">
        <f aca="false">CX24*(1-Premissas!$E$23)*Premissas!$E$24</f>
        <v>22.4931499504378</v>
      </c>
      <c r="DX24" s="58" t="n">
        <f aca="false">CX24*Premissas!$E$23*(1-Premissas!$E$24)</f>
        <v>28.260624296704</v>
      </c>
      <c r="DY24" s="58" t="n">
        <f aca="false">CX24*Premissas!$E$23*Premissas!$E$24</f>
        <v>12.1116961271588</v>
      </c>
      <c r="DZ24" s="58" t="n">
        <f aca="false">DW24+IF(CV24&gt;12,INDEX($DW$6:$DW$29,CV24-12)*Premissas!$E$22,0)</f>
        <v>27.1118950337684</v>
      </c>
      <c r="EA24" s="58" t="n">
        <f aca="false">DY24+IF(CV24&gt;12,INDEX($DY$6:$DY$29,CV24-12)*Premissas!$E$22,0)</f>
        <v>14.5987127104907</v>
      </c>
      <c r="EB24" s="58" t="n">
        <f aca="false">IF(CV24&gt;12,(INDEX($DW$6:$DW$29,CV24-12)+INDEX($DY$6:$DY$29,CV24-12))*(1-Premissas!$E$22),0)</f>
        <v>1.7764404166656</v>
      </c>
      <c r="EC24" s="58" t="n">
        <f aca="false">DB24+DD24+DZ24+EA24</f>
        <v>605.36103534727</v>
      </c>
      <c r="ED24" s="59" t="n">
        <f aca="false">IF(DR24&gt;0,CV24,"")</f>
        <v>19</v>
      </c>
      <c r="EE24" s="40" t="n">
        <f aca="false">DB24*Premissas!$C$13+DD24*Premissas!$C$14</f>
        <v>38553.689248046</v>
      </c>
      <c r="EF24" s="40" t="n">
        <f aca="false">DZ24*Premissas!$F$13+EA24*Premissas!$F$14</f>
        <v>28330.7207026634</v>
      </c>
      <c r="EG24" s="40" t="n">
        <f aca="false">EE24+EF24</f>
        <v>66884.4099507094</v>
      </c>
      <c r="EH24" s="40" t="n">
        <f aca="false">EG24*Premissas!$C$30</f>
        <v>4013.06459704256</v>
      </c>
      <c r="EI24" s="40" t="n">
        <f aca="false">EG24*Premissas!$C$28+EC24*Premissas!$C$29</f>
        <v>2637.58125559499</v>
      </c>
      <c r="EJ24" s="40" t="n">
        <f aca="false">DK24</f>
        <v>420.024440219184</v>
      </c>
      <c r="EK24" s="40" t="n">
        <f aca="false">DN24</f>
        <v>3395</v>
      </c>
      <c r="EL24" s="40" t="n">
        <f aca="false">DO24+DP24</f>
        <v>3245.74651341179</v>
      </c>
      <c r="EM24" s="40" t="n">
        <f aca="false">EH24+EI24+EJ24+EK24+EL24</f>
        <v>13711.4168062685</v>
      </c>
      <c r="EN24" s="56" t="n">
        <f aca="false">EG24-EM24</f>
        <v>53172.9931444409</v>
      </c>
      <c r="EO24" s="56" t="n">
        <f aca="false">IF(CV24=1,Premissas!$C$8,N(EO23))+EN24</f>
        <v>338381.315045079</v>
      </c>
      <c r="EP24" s="40" t="n">
        <f aca="false">DC24*Premissas!$F$13/12+DE24*Premissas!$F$14/12</f>
        <v>15644.6361277736</v>
      </c>
      <c r="EQ24" s="40" t="n">
        <f aca="false">N(EQ23)+EF24-EP24</f>
        <v>109913.193532304</v>
      </c>
      <c r="ER24" s="1"/>
      <c r="ES24" s="1"/>
      <c r="ET24" s="1"/>
      <c r="EU24" s="1"/>
      <c r="EV24" s="1"/>
      <c r="EW24" s="1"/>
      <c r="EX24" s="1"/>
      <c r="EY24" s="1"/>
    </row>
    <row r="25" customFormat="false" ht="15" hidden="false" customHeight="false" outlineLevel="0" collapsed="false">
      <c r="A25" s="1"/>
      <c r="B25" s="51" t="n">
        <f aca="false">B24+1</f>
        <v>20</v>
      </c>
      <c r="C25" s="52" t="n">
        <f aca="false">EDATE(Premissas!$C$7,B25-1)</f>
        <v>46874</v>
      </c>
      <c r="D25" s="53" t="n">
        <f aca="false">Premissas!$C$19*(1+Premissas!$C$20)^(B25-1)</f>
        <v>7.01402421230841</v>
      </c>
      <c r="E25" s="54" t="n">
        <f aca="false">IFERROR(D25/Premissas!$C$25,0)</f>
        <v>70.1402421230841</v>
      </c>
      <c r="F25" s="53" t="n">
        <f aca="false">(N(H24)+N(J24))*Premissas!$C$21+AH25</f>
        <v>4.29997956581643</v>
      </c>
      <c r="G25" s="55" t="n">
        <f aca="false">H25+I25+J25+K25</f>
        <v>61.9033594938307</v>
      </c>
      <c r="H25" s="53" t="n">
        <f aca="false">N(H24)*(1-Premissas!$C$21)+AB25</f>
        <v>44.9936253713659</v>
      </c>
      <c r="I25" s="53" t="n">
        <f aca="false">SUM(INDEX($AF$6:$AF$29,MAX(1,B25-11)):INDEX($AF$6:$AF$29,B25))</f>
        <v>7.6242301983902</v>
      </c>
      <c r="J25" s="53" t="n">
        <f aca="false">N(J24)*(1-Premissas!$C$21)+AD25</f>
        <v>7.9400515361234</v>
      </c>
      <c r="K25" s="53" t="n">
        <f aca="false">SUM(INDEX($AG$6:$AG$29,MAX(1,B25-11)):INDEX($AG$6:$AG$29,B25))</f>
        <v>1.34545238795121</v>
      </c>
      <c r="L25" s="56" t="n">
        <f aca="false">H25*Premissas!$C$13+I25*Premissas!$F$13/12+J25*Premissas!$C$14+K25*Premissas!$F$14/12</f>
        <v>3772.90014016184</v>
      </c>
      <c r="M25" s="40" t="n">
        <f aca="false">L25*12</f>
        <v>45274.801681942</v>
      </c>
      <c r="N25" s="40" t="n">
        <f aca="false">IFERROR(L25/G25,0)</f>
        <v>60.9482291593212</v>
      </c>
      <c r="O25" s="40" t="n">
        <f aca="false">L25*Premissas!$C$30</f>
        <v>226.37400840971</v>
      </c>
      <c r="P25" s="40" t="n">
        <f aca="false">L25*Premissas!$C$28+AI25*Premissas!$C$29</f>
        <v>158.453221415549</v>
      </c>
      <c r="Q25" s="40" t="n">
        <f aca="false">G25*Premissas!$C$31</f>
        <v>30.9516797469154</v>
      </c>
      <c r="R25" s="40" t="n">
        <f aca="false">L25-O25-P25-Q25</f>
        <v>3357.12123058966</v>
      </c>
      <c r="S25" s="57" t="n">
        <f aca="false">IFERROR(R25/L25,0)</f>
        <v>0.88979859150093</v>
      </c>
      <c r="T25" s="40" t="n">
        <f aca="false">SUMPRODUCT(Premissas!$C$42:$C$61,--(Premissas!$D$42:$D$61&lt;=B25))</f>
        <v>3395</v>
      </c>
      <c r="U25" s="40" t="n">
        <f aca="false">Premissas!$C$34*(1+Premissas!$C$35)^(B25-1)</f>
        <v>2630.25907961565</v>
      </c>
      <c r="V25" s="40" t="n">
        <f aca="false">D25*Premissas!$C$36*Premissas!$C$37</f>
        <v>42.0841452738504</v>
      </c>
      <c r="W25" s="40" t="n">
        <f aca="false">O25+P25+Q25+T25+U25+V25</f>
        <v>6483.12213446168</v>
      </c>
      <c r="X25" s="56" t="n">
        <f aca="false">L25-W25</f>
        <v>-2710.22199429984</v>
      </c>
      <c r="Y25" s="40" t="n">
        <f aca="false">N(Y24)+X25</f>
        <v>-63905.1736713791</v>
      </c>
      <c r="Z25" s="40" t="n">
        <f aca="false">IFERROR((U25+V25)/D25,0)</f>
        <v>381</v>
      </c>
      <c r="AA25" s="54" t="n">
        <f aca="false">IFERROR(T25/(R25/G25),0)</f>
        <v>62.6018219320133</v>
      </c>
      <c r="AB25" s="58" t="n">
        <f aca="false">D25*(1-Premissas!$C$23)*(1-Premissas!$C$24)</f>
        <v>5.36572852241593</v>
      </c>
      <c r="AC25" s="58" t="n">
        <f aca="false">D25*(1-Premissas!$C$23)*Premissas!$C$24</f>
        <v>0.596192058046215</v>
      </c>
      <c r="AD25" s="58" t="n">
        <f aca="false">D25*Premissas!$C$23*(1-Premissas!$C$24)</f>
        <v>0.946893268661635</v>
      </c>
      <c r="AE25" s="58" t="n">
        <f aca="false">D25*Premissas!$C$23*Premissas!$C$24</f>
        <v>0.105210363184626</v>
      </c>
      <c r="AF25" s="58" t="n">
        <f aca="false">AC25+IF(B25&gt;12,INDEX($AC$6:$AC$29,B25-12)*Premissas!$C$22,0)</f>
        <v>0.805270615168442</v>
      </c>
      <c r="AG25" s="58" t="n">
        <f aca="false">AE25+IF(B25&gt;12,INDEX($AE$6:$AE$29,B25-12)*Premissas!$C$22,0)</f>
        <v>0.142106579147372</v>
      </c>
      <c r="AH25" s="58" t="n">
        <f aca="false">IF(B25&gt;12,(INDEX($AC$6:$AC$29,B25-12)+INDEX($AE$6:$AE$29,B25-12))*(1-Premissas!$C$22),0)</f>
        <v>0.245974773084974</v>
      </c>
      <c r="AI25" s="58" t="n">
        <f aca="false">H25+J25+AF25+AG25</f>
        <v>53.8810541018051</v>
      </c>
      <c r="AJ25" s="59" t="str">
        <f aca="false">IF(X25&gt;0,B25,"")</f>
        <v/>
      </c>
      <c r="AK25" s="40" t="n">
        <f aca="false">H25*Premissas!$C$13+J25*Premissas!$C$14</f>
        <v>3303.06143902733</v>
      </c>
      <c r="AL25" s="40" t="n">
        <f aca="false">AF25*Premissas!$F$13+AG25*Premissas!$F$14</f>
        <v>595.491935653897</v>
      </c>
      <c r="AM25" s="40" t="n">
        <f aca="false">AK25+AL25</f>
        <v>3898.55337468123</v>
      </c>
      <c r="AN25" s="40" t="n">
        <f aca="false">AM25*Premissas!$C$30</f>
        <v>233.913202480874</v>
      </c>
      <c r="AO25" s="40" t="n">
        <f aca="false">AM25*Premissas!$C$28+AI25*Premissas!$C$29</f>
        <v>162.851084623728</v>
      </c>
      <c r="AP25" s="40" t="n">
        <f aca="false">Q25</f>
        <v>30.9516797469154</v>
      </c>
      <c r="AQ25" s="40" t="n">
        <f aca="false">T25</f>
        <v>3395</v>
      </c>
      <c r="AR25" s="40" t="n">
        <f aca="false">U25+V25</f>
        <v>2672.3432248895</v>
      </c>
      <c r="AS25" s="40" t="n">
        <f aca="false">AN25+AO25+AP25+AQ25+AR25</f>
        <v>6495.05919174102</v>
      </c>
      <c r="AT25" s="56" t="n">
        <f aca="false">AM25-AS25</f>
        <v>-2596.50581705979</v>
      </c>
      <c r="AU25" s="56" t="n">
        <f aca="false">IF(B25=1,Premissas!$C$8,N(AU24))+AT25</f>
        <v>-61265.040352804</v>
      </c>
      <c r="AV25" s="40" t="n">
        <f aca="false">I25*Premissas!$F$13/12+K25*Premissas!$F$14/12</f>
        <v>469.838701134503</v>
      </c>
      <c r="AW25" s="40" t="n">
        <f aca="false">N(AW24)+AL25-AV25</f>
        <v>2917.27438516587</v>
      </c>
      <c r="AX25" s="1"/>
      <c r="AY25" s="51" t="n">
        <f aca="false">AY24+1</f>
        <v>20</v>
      </c>
      <c r="AZ25" s="52" t="n">
        <f aca="false">EDATE(Premissas!$C$7,AY25-1)</f>
        <v>46874</v>
      </c>
      <c r="BA25" s="53" t="n">
        <f aca="false">Premissas!$D$19*(1+Premissas!$D$20)^(AY25-1)</f>
        <v>28.9322202802705</v>
      </c>
      <c r="BB25" s="54" t="n">
        <f aca="false">IFERROR(BA25/Premissas!$D$25,0)</f>
        <v>144.661101401353</v>
      </c>
      <c r="BC25" s="53" t="n">
        <f aca="false">(N(BE24)+N(BG24))*Premissas!$D$21+CE25</f>
        <v>9.53703478015727</v>
      </c>
      <c r="BD25" s="55" t="n">
        <f aca="false">BE25+BF25+BG25+BH25</f>
        <v>247.111220412789</v>
      </c>
      <c r="BE25" s="53" t="n">
        <f aca="false">N(BE24)*(1-Premissas!$D$21)+BY25</f>
        <v>140.447941603106</v>
      </c>
      <c r="BF25" s="53" t="n">
        <f aca="false">SUM(INDEX($CC$6:$CC$29,MAX(1,AY25-11)):INDEX($CC$6:$CC$29,AY25))</f>
        <v>44.8854737064859</v>
      </c>
      <c r="BG25" s="53" t="n">
        <f aca="false">N(BG24)*(1-Premissas!$D$21)+CA25</f>
        <v>46.8159805343685</v>
      </c>
      <c r="BH25" s="53" t="n">
        <f aca="false">SUM(INDEX($CD$6:$CD$29,MAX(1,AY25-11)):INDEX($CD$6:$CD$29,AY25))</f>
        <v>14.9618245688286</v>
      </c>
      <c r="BI25" s="56" t="n">
        <f aca="false">BE25*Premissas!$C$13+BF25*Premissas!$F$13/12+BG25*Premissas!$C$14+BH25*Premissas!$F$14/12</f>
        <v>15508.2145999355</v>
      </c>
      <c r="BJ25" s="40" t="n">
        <f aca="false">BI25*12</f>
        <v>186098.575199226</v>
      </c>
      <c r="BK25" s="40" t="n">
        <f aca="false">IFERROR(BI25/BD25,0)</f>
        <v>62.7580349205906</v>
      </c>
      <c r="BL25" s="40" t="n">
        <f aca="false">BI25*Premissas!$C$30</f>
        <v>930.492875996132</v>
      </c>
      <c r="BM25" s="40" t="n">
        <f aca="false">BI25*Premissas!$C$28+CF25*Premissas!$C$29</f>
        <v>638.200496672986</v>
      </c>
      <c r="BN25" s="40" t="n">
        <f aca="false">BD25*Premissas!$C$31</f>
        <v>123.555610206394</v>
      </c>
      <c r="BO25" s="40" t="n">
        <f aca="false">BI25-BL25-BM25-BN25</f>
        <v>13815.96561706</v>
      </c>
      <c r="BP25" s="57" t="n">
        <f aca="false">IFERROR(BO25/BI25,0)</f>
        <v>0.890880476796952</v>
      </c>
      <c r="BQ25" s="40" t="n">
        <f aca="false">SUMPRODUCT(Premissas!$C$42:$C$61,--(Premissas!$D$42:$D$61&lt;=AY25))</f>
        <v>3395</v>
      </c>
      <c r="BR25" s="40" t="n">
        <f aca="false">Premissas!$C$34*(1+Premissas!$C$35)^(AY25-1)</f>
        <v>2630.25907961565</v>
      </c>
      <c r="BS25" s="40" t="n">
        <f aca="false">BA25*Premissas!$C$36*Premissas!$C$37</f>
        <v>173.593321681623</v>
      </c>
      <c r="BT25" s="40" t="n">
        <f aca="false">BL25+BM25+BN25+BQ25+BR25+BS25</f>
        <v>7891.10138417279</v>
      </c>
      <c r="BU25" s="56" t="n">
        <f aca="false">BI25-BT25</f>
        <v>7617.11321576275</v>
      </c>
      <c r="BV25" s="40" t="n">
        <f aca="false">N(BV24)+BU25</f>
        <v>20772.6918241772</v>
      </c>
      <c r="BW25" s="40" t="n">
        <f aca="false">IFERROR((BR25+BS25)/BA25,0)</f>
        <v>96.9110691863935</v>
      </c>
      <c r="BX25" s="54" t="n">
        <f aca="false">IFERROR(BQ25/(BO25/BD25),0)</f>
        <v>60.7226897167062</v>
      </c>
      <c r="BY25" s="58" t="n">
        <f aca="false">BA25*(1-Premissas!$D$23)*(1-Premissas!$D$24)</f>
        <v>17.3593321681623</v>
      </c>
      <c r="BZ25" s="58" t="n">
        <f aca="false">BA25*(1-Premissas!$D$23)*Premissas!$D$24</f>
        <v>4.33983304204058</v>
      </c>
      <c r="CA25" s="58" t="n">
        <f aca="false">BA25*Premissas!$D$23*(1-Premissas!$D$24)</f>
        <v>5.78644405605411</v>
      </c>
      <c r="CB25" s="58" t="n">
        <f aca="false">BA25*Premissas!$D$23*Premissas!$D$24</f>
        <v>1.44661101401353</v>
      </c>
      <c r="CC25" s="58" t="n">
        <f aca="false">BZ25+IF(AY25&gt;12,INDEX($BZ$6:$BZ$29,AY25-12)*Premissas!$D$22,0)</f>
        <v>5.59234259369376</v>
      </c>
      <c r="CD25" s="58" t="n">
        <f aca="false">CB25+IF(AY25&gt;12,INDEX($CB$6:$CB$29,AY25-12)*Premissas!$D$22,0)</f>
        <v>1.86411419789792</v>
      </c>
      <c r="CE25" s="58" t="n">
        <f aca="false">IF(AY25&gt;12,(INDEX($BZ$6:$BZ$29,AY25-12)+INDEX($CB$6:$CB$29,AY25-12))*(1-Premissas!$D$22),0)</f>
        <v>0.899237626827921</v>
      </c>
      <c r="CF25" s="58" t="n">
        <f aca="false">BE25+BG25+CC25+CD25</f>
        <v>194.720378929066</v>
      </c>
      <c r="CG25" s="59" t="n">
        <f aca="false">IF(BU25&gt;0,AY25,"")</f>
        <v>20</v>
      </c>
      <c r="CH25" s="40" t="n">
        <f aca="false">BE25*Premissas!$C$13+BG25*Premissas!$C$14</f>
        <v>12247.0605077908</v>
      </c>
      <c r="CI25" s="40" t="n">
        <f aca="false">CC25*Premissas!$F$13+CD25*Premissas!$F$14</f>
        <v>4875.73981373784</v>
      </c>
      <c r="CJ25" s="40" t="n">
        <f aca="false">CH25+CI25</f>
        <v>17122.8003215286</v>
      </c>
      <c r="CK25" s="40" t="n">
        <f aca="false">CJ25*Premissas!$C$30</f>
        <v>1027.36801929172</v>
      </c>
      <c r="CL25" s="40" t="n">
        <f aca="false">CJ25*Premissas!$C$28+CF25*Premissas!$C$29</f>
        <v>694.710996928745</v>
      </c>
      <c r="CM25" s="40" t="n">
        <f aca="false">BN25</f>
        <v>123.555610206394</v>
      </c>
      <c r="CN25" s="40" t="n">
        <f aca="false">BQ25</f>
        <v>3395</v>
      </c>
      <c r="CO25" s="40" t="n">
        <f aca="false">BR25+BS25</f>
        <v>2803.85240129728</v>
      </c>
      <c r="CP25" s="40" t="n">
        <f aca="false">CK25+CL25+CM25+CN25+CO25</f>
        <v>8044.48702772413</v>
      </c>
      <c r="CQ25" s="56" t="n">
        <f aca="false">CJ25-CP25</f>
        <v>9078.31329380451</v>
      </c>
      <c r="CR25" s="56" t="n">
        <f aca="false">IF(AY25=1,Premissas!$C$8,N(CR24))+CQ25</f>
        <v>40177.4836171013</v>
      </c>
      <c r="CS25" s="40" t="n">
        <f aca="false">BF25*Premissas!$F$13/12+BH25*Premissas!$F$14/12</f>
        <v>3261.15409214473</v>
      </c>
      <c r="CT25" s="40" t="n">
        <f aca="false">N(CT24)+CI25-CS25</f>
        <v>21441.7588872089</v>
      </c>
      <c r="CU25" s="1"/>
      <c r="CV25" s="51" t="n">
        <f aca="false">CV24+1</f>
        <v>20</v>
      </c>
      <c r="CW25" s="52" t="n">
        <f aca="false">EDATE(Premissas!$C$7,CV25-1)</f>
        <v>46874</v>
      </c>
      <c r="CX25" s="53" t="n">
        <f aca="false">Premissas!$E$19*(1+Premissas!$E$20)^(CV25-1)</f>
        <v>129.191425356361</v>
      </c>
      <c r="CY25" s="54" t="n">
        <f aca="false">IFERROR(CX25/Premissas!$E$25,0)</f>
        <v>430.638084521203</v>
      </c>
      <c r="CZ25" s="53" t="n">
        <f aca="false">(N(DB24)+N(DD24))*Premissas!$E$21+EB25</f>
        <v>18.8991260947558</v>
      </c>
      <c r="DA25" s="55" t="n">
        <f aca="false">DB25+DC25+DD25+DE25</f>
        <v>950.341179699973</v>
      </c>
      <c r="DB25" s="53" t="n">
        <f aca="false">N(DB24)*(1-Premissas!$E$21)+DV25</f>
        <v>414.163693140843</v>
      </c>
      <c r="DC25" s="53" t="n">
        <f aca="false">SUM(INDEX($DZ$6:$DZ$29,MAX(1,CV25-11)):INDEX($DZ$6:$DZ$29,CV25))</f>
        <v>203.55807366414</v>
      </c>
      <c r="DD25" s="53" t="n">
        <f aca="false">N(DD24)*(1-Premissas!$E$21)+DX25</f>
        <v>223.011219383531</v>
      </c>
      <c r="DE25" s="53" t="n">
        <f aca="false">SUM(INDEX($EA$6:$EA$29,MAX(1,CV25-11)):INDEX($EA$6:$EA$29,CV25))</f>
        <v>109.60819351146</v>
      </c>
      <c r="DF25" s="56" t="n">
        <f aca="false">DB25*Premissas!$C$13+DC25*Premissas!$F$13/12+DD25*Premissas!$C$14+DE25*Premissas!$F$14/12</f>
        <v>61308.5227797736</v>
      </c>
      <c r="DG25" s="40" t="n">
        <f aca="false">DF25*12</f>
        <v>735702.273357284</v>
      </c>
      <c r="DH25" s="40" t="n">
        <f aca="false">IFERROR(DF25/DA25,0)</f>
        <v>64.51211847847</v>
      </c>
      <c r="DI25" s="40" t="n">
        <f aca="false">DF25*Premissas!$C$30</f>
        <v>3678.51136678642</v>
      </c>
      <c r="DJ25" s="40" t="n">
        <f aca="false">DF25*Premissas!$C$28+EC25*Premissas!$C$29</f>
        <v>2480.90478595907</v>
      </c>
      <c r="DK25" s="40" t="n">
        <f aca="false">DA25*Premissas!$C$31</f>
        <v>475.170589849987</v>
      </c>
      <c r="DL25" s="40" t="n">
        <f aca="false">DF25-DI25-DJ25-DK25</f>
        <v>54673.9360371782</v>
      </c>
      <c r="DM25" s="57" t="n">
        <f aca="false">IFERROR(DL25/DF25,0)</f>
        <v>0.891783614385433</v>
      </c>
      <c r="DN25" s="40" t="n">
        <f aca="false">SUMPRODUCT(Premissas!$C$42:$C$61,--(Premissas!$D$42:$D$61&lt;=CV25))</f>
        <v>3395</v>
      </c>
      <c r="DO25" s="40" t="n">
        <f aca="false">Premissas!$C$34*(1+Premissas!$C$35)^(CV25-1)</f>
        <v>2630.25907961565</v>
      </c>
      <c r="DP25" s="40" t="n">
        <f aca="false">CX25*Premissas!$C$36*Premissas!$C$37</f>
        <v>775.148552138166</v>
      </c>
      <c r="DQ25" s="40" t="n">
        <f aca="false">DI25+DJ25+DK25+DN25+DO25+DP25</f>
        <v>13434.9943743493</v>
      </c>
      <c r="DR25" s="56" t="n">
        <f aca="false">DF25-DQ25</f>
        <v>47873.5284054244</v>
      </c>
      <c r="DS25" s="40" t="n">
        <f aca="false">N(DS24)+DR25</f>
        <v>286783.403303768</v>
      </c>
      <c r="DT25" s="40" t="n">
        <f aca="false">IFERROR((DO25+DP25)/CX25,0)</f>
        <v>26.3593936080538</v>
      </c>
      <c r="DU25" s="54" t="n">
        <f aca="false">IFERROR(DN25/(DL25/DA25),0)</f>
        <v>59.0118169448685</v>
      </c>
      <c r="DV25" s="58" t="n">
        <f aca="false">CX25*(1-Premissas!$E$23)*(1-Premissas!$E$24)</f>
        <v>58.7820985371442</v>
      </c>
      <c r="DW25" s="58" t="n">
        <f aca="false">CX25*(1-Premissas!$E$23)*Premissas!$E$24</f>
        <v>25.1923279444904</v>
      </c>
      <c r="DX25" s="58" t="n">
        <f aca="false">CX25*Premissas!$E$23*(1-Premissas!$E$24)</f>
        <v>31.6518992123084</v>
      </c>
      <c r="DY25" s="58" t="n">
        <f aca="false">CX25*Premissas!$E$23*Premissas!$E$24</f>
        <v>13.5650996624179</v>
      </c>
      <c r="DZ25" s="58" t="n">
        <f aca="false">DW25+IF(CV25&gt;12,INDEX($DW$6:$DW$29,CV25-12)*Premissas!$E$22,0)</f>
        <v>30.3653224378206</v>
      </c>
      <c r="EA25" s="58" t="n">
        <f aca="false">DY25+IF(CV25&gt;12,INDEX($DY$6:$DY$29,CV25-12)*Premissas!$E$22,0)</f>
        <v>16.3505582357496</v>
      </c>
      <c r="EB25" s="58" t="n">
        <f aca="false">IF(CV25&gt;12,(INDEX($DW$6:$DW$29,CV25-12)+INDEX($DY$6:$DY$29,CV25-12))*(1-Premissas!$E$22),0)</f>
        <v>1.98961326666547</v>
      </c>
      <c r="EC25" s="58" t="n">
        <f aca="false">DB25+DD25+DZ25+EA25</f>
        <v>683.890793197944</v>
      </c>
      <c r="ED25" s="59" t="n">
        <f aca="false">IF(DR25&gt;0,CV25,"")</f>
        <v>20</v>
      </c>
      <c r="EE25" s="40" t="n">
        <f aca="false">DB25*Premissas!$C$13+DD25*Premissas!$C$14</f>
        <v>43582.7640166672</v>
      </c>
      <c r="EF25" s="40" t="n">
        <f aca="false">DZ25*Premissas!$F$13+EA25*Premissas!$F$14</f>
        <v>31730.407186983</v>
      </c>
      <c r="EG25" s="40" t="n">
        <f aca="false">EE25+EF25</f>
        <v>75313.1712036502</v>
      </c>
      <c r="EH25" s="40" t="n">
        <f aca="false">EG25*Premissas!$C$30</f>
        <v>4518.79027221901</v>
      </c>
      <c r="EI25" s="40" t="n">
        <f aca="false">EG25*Premissas!$C$28+EC25*Premissas!$C$29</f>
        <v>2971.06748079475</v>
      </c>
      <c r="EJ25" s="40" t="n">
        <f aca="false">DK25</f>
        <v>475.170589849987</v>
      </c>
      <c r="EK25" s="40" t="n">
        <f aca="false">DN25</f>
        <v>3395</v>
      </c>
      <c r="EL25" s="40" t="n">
        <f aca="false">DO25+DP25</f>
        <v>3405.40763175382</v>
      </c>
      <c r="EM25" s="40" t="n">
        <f aca="false">EH25+EI25+EJ25+EK25+EL25</f>
        <v>14765.4359746176</v>
      </c>
      <c r="EN25" s="56" t="n">
        <f aca="false">EG25-EM25</f>
        <v>60547.7352290326</v>
      </c>
      <c r="EO25" s="56" t="n">
        <f aca="false">IF(CV25=1,Premissas!$C$8,N(EO24))+EN25</f>
        <v>398929.050274112</v>
      </c>
      <c r="EP25" s="40" t="n">
        <f aca="false">DC25*Premissas!$F$13/12+DE25*Premissas!$F$14/12</f>
        <v>17725.7587631065</v>
      </c>
      <c r="EQ25" s="40" t="n">
        <f aca="false">N(EQ24)+EF25-EP25</f>
        <v>123917.841956181</v>
      </c>
      <c r="ER25" s="1"/>
      <c r="ES25" s="1"/>
      <c r="ET25" s="1"/>
      <c r="EU25" s="1"/>
      <c r="EV25" s="1"/>
      <c r="EW25" s="1"/>
      <c r="EX25" s="1"/>
      <c r="EY25" s="1"/>
    </row>
    <row r="26" customFormat="false" ht="15" hidden="false" customHeight="false" outlineLevel="0" collapsed="false">
      <c r="A26" s="1"/>
      <c r="B26" s="51" t="n">
        <f aca="false">B25+1</f>
        <v>21</v>
      </c>
      <c r="C26" s="52" t="n">
        <f aca="false">EDATE(Premissas!$C$7,B26-1)</f>
        <v>46905</v>
      </c>
      <c r="D26" s="53" t="n">
        <f aca="false">Premissas!$C$19*(1+Premissas!$C$20)^(B26-1)</f>
        <v>7.22444493867766</v>
      </c>
      <c r="E26" s="54" t="n">
        <f aca="false">IFERROR(D26/Premissas!$C$25,0)</f>
        <v>72.2444493867766</v>
      </c>
      <c r="F26" s="53" t="n">
        <f aca="false">(N(H25)+N(J25))*Premissas!$C$21+AH26</f>
        <v>4.48804816887667</v>
      </c>
      <c r="G26" s="55" t="n">
        <f aca="false">H26+I26+J26+K26</f>
        <v>64.6397562636317</v>
      </c>
      <c r="H26" s="53" t="n">
        <f aca="false">N(H25)*(1-Premissas!$C$21)+AB26</f>
        <v>46.9208357197451</v>
      </c>
      <c r="I26" s="53" t="n">
        <f aca="false">SUM(INDEX($AF$6:$AF$29,MAX(1,B26-11)):INDEX($AF$6:$AF$29,B26))</f>
        <v>8.02295710434191</v>
      </c>
      <c r="J26" s="53" t="n">
        <f aca="false">N(J25)*(1-Premissas!$C$21)+AD26</f>
        <v>8.28014747995501</v>
      </c>
      <c r="K26" s="53" t="n">
        <f aca="false">SUM(INDEX($AG$6:$AG$29,MAX(1,B26-11)):INDEX($AG$6:$AG$29,B26))</f>
        <v>1.41581595958975</v>
      </c>
      <c r="L26" s="56" t="n">
        <f aca="false">H26*Premissas!$C$13+I26*Premissas!$F$13/12+J26*Premissas!$C$14+K26*Premissas!$F$14/12</f>
        <v>3938.95136382982</v>
      </c>
      <c r="M26" s="40" t="n">
        <f aca="false">L26*12</f>
        <v>47267.4163659579</v>
      </c>
      <c r="N26" s="40" t="n">
        <f aca="false">IFERROR(L26/G26,0)</f>
        <v>60.936977357478</v>
      </c>
      <c r="O26" s="40" t="n">
        <f aca="false">L26*Premissas!$C$30</f>
        <v>236.337081829789</v>
      </c>
      <c r="P26" s="40" t="n">
        <f aca="false">L26*Premissas!$C$28+AI26*Premissas!$C$29</f>
        <v>165.389920771868</v>
      </c>
      <c r="Q26" s="40" t="n">
        <f aca="false">G26*Premissas!$C$31</f>
        <v>32.3198781318159</v>
      </c>
      <c r="R26" s="40" t="n">
        <f aca="false">L26-O26-P26-Q26</f>
        <v>3504.90448309635</v>
      </c>
      <c r="S26" s="57" t="n">
        <f aca="false">IFERROR(R26/L26,0)</f>
        <v>0.889806488925151</v>
      </c>
      <c r="T26" s="40" t="n">
        <f aca="false">SUMPRODUCT(Premissas!$C$42:$C$61,--(Premissas!$D$42:$D$61&lt;=B26))</f>
        <v>3395</v>
      </c>
      <c r="U26" s="40" t="n">
        <f aca="false">Premissas!$C$34*(1+Premissas!$C$35)^(B26-1)</f>
        <v>2709.16685200412</v>
      </c>
      <c r="V26" s="40" t="n">
        <f aca="false">D26*Premissas!$C$36*Premissas!$C$37</f>
        <v>43.346669632066</v>
      </c>
      <c r="W26" s="40" t="n">
        <f aca="false">O26+P26+Q26+T26+U26+V26</f>
        <v>6581.56040236966</v>
      </c>
      <c r="X26" s="56" t="n">
        <f aca="false">L26-W26</f>
        <v>-2642.60903853984</v>
      </c>
      <c r="Y26" s="40" t="n">
        <f aca="false">N(Y25)+X26</f>
        <v>-66547.782709919</v>
      </c>
      <c r="Z26" s="40" t="n">
        <f aca="false">IFERROR((U26+V26)/D26,0)</f>
        <v>381</v>
      </c>
      <c r="AA26" s="54" t="n">
        <f aca="false">IFERROR(T26/(R26/G26),0)</f>
        <v>62.612825420326</v>
      </c>
      <c r="AB26" s="58" t="n">
        <f aca="false">D26*(1-Premissas!$C$23)*(1-Premissas!$C$24)</f>
        <v>5.52670037808841</v>
      </c>
      <c r="AC26" s="58" t="n">
        <f aca="false">D26*(1-Premissas!$C$23)*Premissas!$C$24</f>
        <v>0.614077819787601</v>
      </c>
      <c r="AD26" s="58" t="n">
        <f aca="false">D26*Premissas!$C$23*(1-Premissas!$C$24)</f>
        <v>0.975300066721484</v>
      </c>
      <c r="AE26" s="58" t="n">
        <f aca="false">D26*Premissas!$C$23*Premissas!$C$24</f>
        <v>0.108366674080165</v>
      </c>
      <c r="AF26" s="58" t="n">
        <f aca="false">AC26+IF(B26&gt;12,INDEX($AC$6:$AC$29,B26-12)*Premissas!$C$22,0)</f>
        <v>0.829428733623496</v>
      </c>
      <c r="AG26" s="58" t="n">
        <f aca="false">AE26+IF(B26&gt;12,INDEX($AE$6:$AE$29,B26-12)*Premissas!$C$22,0)</f>
        <v>0.146369776521793</v>
      </c>
      <c r="AH26" s="58" t="n">
        <f aca="false">IF(B26&gt;12,(INDEX($AC$6:$AC$29,B26-12)+INDEX($AE$6:$AE$29,B26-12))*(1-Premissas!$C$22),0)</f>
        <v>0.253354016277523</v>
      </c>
      <c r="AI26" s="58" t="n">
        <f aca="false">H26+J26+AF26+AG26</f>
        <v>56.1767817098454</v>
      </c>
      <c r="AJ26" s="59" t="str">
        <f aca="false">IF(X26&gt;0,B26,"")</f>
        <v/>
      </c>
      <c r="AK26" s="40" t="n">
        <f aca="false">H26*Premissas!$C$13+J26*Premissas!$C$14</f>
        <v>3444.54135166128</v>
      </c>
      <c r="AL26" s="40" t="n">
        <f aca="false">AF26*Premissas!$F$13+AG26*Premissas!$F$14</f>
        <v>613.356693723514</v>
      </c>
      <c r="AM26" s="40" t="n">
        <f aca="false">AK26+AL26</f>
        <v>4057.8980453848</v>
      </c>
      <c r="AN26" s="40" t="n">
        <f aca="false">AM26*Premissas!$C$30</f>
        <v>243.473882723088</v>
      </c>
      <c r="AO26" s="40" t="n">
        <f aca="false">AM26*Premissas!$C$28+AI26*Premissas!$C$29</f>
        <v>169.553054626292</v>
      </c>
      <c r="AP26" s="40" t="n">
        <f aca="false">Q26</f>
        <v>32.3198781318159</v>
      </c>
      <c r="AQ26" s="40" t="n">
        <f aca="false">T26</f>
        <v>3395</v>
      </c>
      <c r="AR26" s="40" t="n">
        <f aca="false">U26+V26</f>
        <v>2752.51352163619</v>
      </c>
      <c r="AS26" s="40" t="n">
        <f aca="false">AN26+AO26+AP26+AQ26+AR26</f>
        <v>6592.86033711739</v>
      </c>
      <c r="AT26" s="56" t="n">
        <f aca="false">AM26-AS26</f>
        <v>-2534.96229173259</v>
      </c>
      <c r="AU26" s="56" t="n">
        <f aca="false">IF(B26=1,Premissas!$C$8,N(AU25))+AT26</f>
        <v>-63800.0026445366</v>
      </c>
      <c r="AV26" s="40" t="n">
        <f aca="false">I26*Premissas!$F$13/12+K26*Premissas!$F$14/12</f>
        <v>494.410012168538</v>
      </c>
      <c r="AW26" s="40" t="n">
        <f aca="false">N(AW25)+AL26-AV26</f>
        <v>3036.22106672085</v>
      </c>
      <c r="AX26" s="1"/>
      <c r="AY26" s="51" t="n">
        <f aca="false">AY25+1</f>
        <v>21</v>
      </c>
      <c r="AZ26" s="52" t="n">
        <f aca="false">EDATE(Premissas!$C$7,AY26-1)</f>
        <v>46905</v>
      </c>
      <c r="BA26" s="53" t="n">
        <f aca="false">Premissas!$D$19*(1+Premissas!$D$20)^(AY26-1)</f>
        <v>30.9574756998895</v>
      </c>
      <c r="BB26" s="54" t="n">
        <f aca="false">IFERROR(BA26/Premissas!$D$25,0)</f>
        <v>154.787378499447</v>
      </c>
      <c r="BC26" s="53" t="n">
        <f aca="false">(N(BE25)+N(BG25))*Premissas!$D$21+CE26</f>
        <v>10.3253803675796</v>
      </c>
      <c r="BD26" s="55" t="n">
        <f aca="false">BE26+BF26+BG26+BH26</f>
        <v>267.743315745098</v>
      </c>
      <c r="BE26" s="53" t="n">
        <f aca="false">N(BE25)*(1-Premissas!$D$21)+BY26</f>
        <v>152.000029942884</v>
      </c>
      <c r="BF26" s="53" t="n">
        <f aca="false">SUM(INDEX($CC$6:$CC$29,MAX(1,AY26-11)):INDEX($CC$6:$CC$29,AY26))</f>
        <v>48.8074568659399</v>
      </c>
      <c r="BG26" s="53" t="n">
        <f aca="false">N(BG25)*(1-Premissas!$D$21)+CA26</f>
        <v>50.666676647628</v>
      </c>
      <c r="BH26" s="53" t="n">
        <f aca="false">SUM(INDEX($CD$6:$CD$29,MAX(1,AY26-11)):INDEX($CD$6:$CD$29,AY26))</f>
        <v>16.2691522886466</v>
      </c>
      <c r="BI26" s="56" t="n">
        <f aca="false">BE26*Premissas!$C$13+BF26*Premissas!$F$13/12+BG26*Premissas!$C$14+BH26*Premissas!$F$14/12</f>
        <v>16800.5083896143</v>
      </c>
      <c r="BJ26" s="40" t="n">
        <f aca="false">BI26*12</f>
        <v>201606.100675372</v>
      </c>
      <c r="BK26" s="40" t="n">
        <f aca="false">IFERROR(BI26/BD26,0)</f>
        <v>62.7485632754659</v>
      </c>
      <c r="BL26" s="40" t="n">
        <f aca="false">BI26*Premissas!$C$30</f>
        <v>1008.03050337686</v>
      </c>
      <c r="BM26" s="40" t="n">
        <f aca="false">BI26*Premissas!$C$28+CF26*Premissas!$C$29</f>
        <v>691.233900161684</v>
      </c>
      <c r="BN26" s="40" t="n">
        <f aca="false">BD26*Premissas!$C$31</f>
        <v>133.871657872549</v>
      </c>
      <c r="BO26" s="40" t="n">
        <f aca="false">BI26-BL26-BM26-BN26</f>
        <v>14967.3723282032</v>
      </c>
      <c r="BP26" s="57" t="n">
        <f aca="false">IFERROR(BO26/BI26,0)</f>
        <v>0.890888060117021</v>
      </c>
      <c r="BQ26" s="40" t="n">
        <f aca="false">SUMPRODUCT(Premissas!$C$42:$C$61,--(Premissas!$D$42:$D$61&lt;=AY26))</f>
        <v>3395</v>
      </c>
      <c r="BR26" s="40" t="n">
        <f aca="false">Premissas!$C$34*(1+Premissas!$C$35)^(AY26-1)</f>
        <v>2709.16685200412</v>
      </c>
      <c r="BS26" s="40" t="n">
        <f aca="false">BA26*Premissas!$C$36*Premissas!$C$37</f>
        <v>185.744854199337</v>
      </c>
      <c r="BT26" s="40" t="n">
        <f aca="false">BL26+BM26+BN26+BQ26+BR26+BS26</f>
        <v>8123.04776761455</v>
      </c>
      <c r="BU26" s="56" t="n">
        <f aca="false">BI26-BT26</f>
        <v>8677.46062199979</v>
      </c>
      <c r="BV26" s="40" t="n">
        <f aca="false">N(BV25)+BU26</f>
        <v>29450.152446177</v>
      </c>
      <c r="BW26" s="40" t="n">
        <f aca="false">IFERROR((BR26+BS26)/BA26,0)</f>
        <v>93.5125245439115</v>
      </c>
      <c r="BX26" s="54" t="n">
        <f aca="false">IFERROR(BQ26/(BO26/BD26),0)</f>
        <v>60.7313386092352</v>
      </c>
      <c r="BY26" s="58" t="n">
        <f aca="false">BA26*(1-Premissas!$D$23)*(1-Premissas!$D$24)</f>
        <v>18.5744854199337</v>
      </c>
      <c r="BZ26" s="58" t="n">
        <f aca="false">BA26*(1-Premissas!$D$23)*Premissas!$D$24</f>
        <v>4.64362135498342</v>
      </c>
      <c r="CA26" s="58" t="n">
        <f aca="false">BA26*Premissas!$D$23*(1-Premissas!$D$24)</f>
        <v>6.19149513997789</v>
      </c>
      <c r="CB26" s="58" t="n">
        <f aca="false">BA26*Premissas!$D$23*Premissas!$D$24</f>
        <v>1.54787378499447</v>
      </c>
      <c r="CC26" s="58" t="n">
        <f aca="false">BZ26+IF(AY26&gt;12,INDEX($BZ$6:$BZ$29,AY26-12)*Premissas!$D$22,0)</f>
        <v>5.98380657525232</v>
      </c>
      <c r="CD26" s="58" t="n">
        <f aca="false">CB26+IF(AY26&gt;12,INDEX($CB$6:$CB$29,AY26-12)*Premissas!$D$22,0)</f>
        <v>1.99460219175077</v>
      </c>
      <c r="CE26" s="58" t="n">
        <f aca="false">IF(AY26&gt;12,(INDEX($BZ$6:$BZ$29,AY26-12)+INDEX($CB$6:$CB$29,AY26-12))*(1-Premissas!$D$22),0)</f>
        <v>0.962184260705876</v>
      </c>
      <c r="CF26" s="58" t="n">
        <f aca="false">BE26+BG26+CC26+CD26</f>
        <v>210.645115357515</v>
      </c>
      <c r="CG26" s="59" t="n">
        <f aca="false">IF(BU26&gt;0,AY26,"")</f>
        <v>21</v>
      </c>
      <c r="CH26" s="40" t="n">
        <f aca="false">BE26*Premissas!$C$13+BG26*Premissas!$C$14</f>
        <v>13254.4026110195</v>
      </c>
      <c r="CI26" s="40" t="n">
        <f aca="false">CC26*Premissas!$F$13+CD26*Premissas!$F$14</f>
        <v>5217.04160069949</v>
      </c>
      <c r="CJ26" s="40" t="n">
        <f aca="false">CH26+CI26</f>
        <v>18471.444211719</v>
      </c>
      <c r="CK26" s="40" t="n">
        <f aca="false">CJ26*Premissas!$C$30</f>
        <v>1108.28665270314</v>
      </c>
      <c r="CL26" s="40" t="n">
        <f aca="false">CJ26*Premissas!$C$28+CF26*Premissas!$C$29</f>
        <v>749.716653935346</v>
      </c>
      <c r="CM26" s="40" t="n">
        <f aca="false">BN26</f>
        <v>133.871657872549</v>
      </c>
      <c r="CN26" s="40" t="n">
        <f aca="false">BQ26</f>
        <v>3395</v>
      </c>
      <c r="CO26" s="40" t="n">
        <f aca="false">BR26+BS26</f>
        <v>2894.91170620346</v>
      </c>
      <c r="CP26" s="40" t="n">
        <f aca="false">CK26+CL26+CM26+CN26+CO26</f>
        <v>8281.78667071449</v>
      </c>
      <c r="CQ26" s="56" t="n">
        <f aca="false">CJ26-CP26</f>
        <v>10189.6575410045</v>
      </c>
      <c r="CR26" s="56" t="n">
        <f aca="false">IF(AY26=1,Premissas!$C$8,N(CR25))+CQ26</f>
        <v>50367.1411581057</v>
      </c>
      <c r="CS26" s="40" t="n">
        <f aca="false">BF26*Premissas!$F$13/12+BH26*Premissas!$F$14/12</f>
        <v>3546.10577859486</v>
      </c>
      <c r="CT26" s="40" t="n">
        <f aca="false">N(CT25)+CI26-CS26</f>
        <v>23112.6947093135</v>
      </c>
      <c r="CU26" s="1"/>
      <c r="CV26" s="51" t="n">
        <f aca="false">CV25+1</f>
        <v>21</v>
      </c>
      <c r="CW26" s="52" t="n">
        <f aca="false">EDATE(Premissas!$C$7,CV26-1)</f>
        <v>46905</v>
      </c>
      <c r="CX26" s="53" t="n">
        <f aca="false">Premissas!$E$19*(1+Premissas!$E$20)^(CV26-1)</f>
        <v>144.694396399124</v>
      </c>
      <c r="CY26" s="54" t="n">
        <f aca="false">IFERROR(CX26/Premissas!$E$25,0)</f>
        <v>482.314654663748</v>
      </c>
      <c r="CZ26" s="53" t="n">
        <f aca="false">(N(DB25)+N(DD25))*Premissas!$E$21+EB26</f>
        <v>21.3436142343965</v>
      </c>
      <c r="DA26" s="55" t="n">
        <f aca="false">DB26+DC26+DD26+DE26</f>
        <v>1073.6919618647</v>
      </c>
      <c r="DB26" s="53" t="n">
        <f aca="false">N(DB25)*(1-Premissas!$E$21)+DV26</f>
        <v>467.574732708219</v>
      </c>
      <c r="DC26" s="53" t="n">
        <f aca="false">SUM(INDEX($DZ$6:$DZ$29,MAX(1,CV26-11)):INDEX($DZ$6:$DZ$29,CV26))</f>
        <v>230.325042503836</v>
      </c>
      <c r="DD26" s="53" t="n">
        <f aca="false">N(DD25)*(1-Premissas!$E$21)+DX26</f>
        <v>251.77100991981</v>
      </c>
      <c r="DE26" s="53" t="n">
        <f aca="false">SUM(INDEX($EA$6:$EA$29,MAX(1,CV26-11)):INDEX($EA$6:$EA$29,CV26))</f>
        <v>124.021176732835</v>
      </c>
      <c r="DF26" s="56" t="n">
        <f aca="false">DB26*Premissas!$C$13+DC26*Premissas!$F$13/12+DD26*Premissas!$C$14+DE26*Premissas!$F$14/12</f>
        <v>69259.8649104365</v>
      </c>
      <c r="DG26" s="40" t="n">
        <f aca="false">DF26*12</f>
        <v>831118.378925238</v>
      </c>
      <c r="DH26" s="40" t="n">
        <f aca="false">IFERROR(DF26/DA26,0)</f>
        <v>64.5062712308581</v>
      </c>
      <c r="DI26" s="40" t="n">
        <f aca="false">DF26*Premissas!$C$30</f>
        <v>4155.59189462619</v>
      </c>
      <c r="DJ26" s="40" t="n">
        <f aca="false">DF26*Premissas!$C$28+EC26*Premissas!$C$29</f>
        <v>2802.21236106667</v>
      </c>
      <c r="DK26" s="40" t="n">
        <f aca="false">DA26*Premissas!$C$31</f>
        <v>536.84598093235</v>
      </c>
      <c r="DL26" s="40" t="n">
        <f aca="false">DF26-DI26-DJ26-DK26</f>
        <v>61765.2146738113</v>
      </c>
      <c r="DM26" s="57" t="n">
        <f aca="false">IFERROR(DL26/DF26,0)</f>
        <v>0.891789418787967</v>
      </c>
      <c r="DN26" s="40" t="n">
        <f aca="false">SUMPRODUCT(Premissas!$C$42:$C$61,--(Premissas!$D$42:$D$61&lt;=CV26))</f>
        <v>3395</v>
      </c>
      <c r="DO26" s="40" t="n">
        <f aca="false">Premissas!$C$34*(1+Premissas!$C$35)^(CV26-1)</f>
        <v>2709.16685200412</v>
      </c>
      <c r="DP26" s="40" t="n">
        <f aca="false">CX26*Premissas!$C$36*Premissas!$C$37</f>
        <v>868.166378394746</v>
      </c>
      <c r="DQ26" s="40" t="n">
        <f aca="false">DI26+DJ26+DK26+DN26+DO26+DP26</f>
        <v>14466.9834670241</v>
      </c>
      <c r="DR26" s="56" t="n">
        <f aca="false">DF26-DQ26</f>
        <v>54792.8814434124</v>
      </c>
      <c r="DS26" s="40" t="n">
        <f aca="false">N(DS25)+DR26</f>
        <v>341576.284747181</v>
      </c>
      <c r="DT26" s="40" t="n">
        <f aca="false">IFERROR((DO26+DP26)/CX26,0)</f>
        <v>24.7233709074066</v>
      </c>
      <c r="DU26" s="54" t="n">
        <f aca="false">IFERROR(DN26/(DL26/DA26),0)</f>
        <v>59.0167820152697</v>
      </c>
      <c r="DV26" s="58" t="n">
        <f aca="false">CX26*(1-Premissas!$E$23)*(1-Premissas!$E$24)</f>
        <v>65.8359503616016</v>
      </c>
      <c r="DW26" s="58" t="n">
        <f aca="false">CX26*(1-Premissas!$E$23)*Premissas!$E$24</f>
        <v>28.2154072978292</v>
      </c>
      <c r="DX26" s="58" t="n">
        <f aca="false">CX26*Premissas!$E$23*(1-Premissas!$E$24)</f>
        <v>35.4501271177854</v>
      </c>
      <c r="DY26" s="58" t="n">
        <f aca="false">CX26*Premissas!$E$23*Premissas!$E$24</f>
        <v>15.192911621908</v>
      </c>
      <c r="DZ26" s="58" t="n">
        <f aca="false">DW26+IF(CV26&gt;12,INDEX($DW$6:$DW$29,CV26-12)*Premissas!$E$22,0)</f>
        <v>34.0091611303591</v>
      </c>
      <c r="EA26" s="58" t="n">
        <f aca="false">DY26+IF(CV26&gt;12,INDEX($DY$6:$DY$29,CV26-12)*Premissas!$E$22,0)</f>
        <v>18.3126252240395</v>
      </c>
      <c r="EB26" s="58" t="n">
        <f aca="false">IF(CV26&gt;12,(INDEX($DW$6:$DW$29,CV26-12)+INDEX($DY$6:$DY$29,CV26-12))*(1-Premissas!$E$22),0)</f>
        <v>2.22836685866533</v>
      </c>
      <c r="EC26" s="58" t="n">
        <f aca="false">DB26+DD26+DZ26+EA26</f>
        <v>771.667528982428</v>
      </c>
      <c r="ED26" s="59" t="n">
        <f aca="false">IF(DR26&gt;0,CV26,"")</f>
        <v>21</v>
      </c>
      <c r="EE26" s="40" t="n">
        <f aca="false">DB26*Premissas!$C$13+DD26*Premissas!$C$14</f>
        <v>49203.2487957572</v>
      </c>
      <c r="EF26" s="40" t="n">
        <f aca="false">DZ26*Premissas!$F$13+EA26*Premissas!$F$14</f>
        <v>35538.056049421</v>
      </c>
      <c r="EG26" s="40" t="n">
        <f aca="false">EE26+EF26</f>
        <v>84741.3048451782</v>
      </c>
      <c r="EH26" s="40" t="n">
        <f aca="false">EG26*Premissas!$C$30</f>
        <v>5084.47829071069</v>
      </c>
      <c r="EI26" s="40" t="n">
        <f aca="false">EG26*Premissas!$C$28+EC26*Premissas!$C$29</f>
        <v>3344.06275878263</v>
      </c>
      <c r="EJ26" s="40" t="n">
        <f aca="false">DK26</f>
        <v>536.84598093235</v>
      </c>
      <c r="EK26" s="40" t="n">
        <f aca="false">DN26</f>
        <v>3395</v>
      </c>
      <c r="EL26" s="40" t="n">
        <f aca="false">DO26+DP26</f>
        <v>3577.33323039887</v>
      </c>
      <c r="EM26" s="40" t="n">
        <f aca="false">EH26+EI26+EJ26+EK26+EL26</f>
        <v>15937.7202608245</v>
      </c>
      <c r="EN26" s="56" t="n">
        <f aca="false">EG26-EM26</f>
        <v>68803.5845843537</v>
      </c>
      <c r="EO26" s="56" t="n">
        <f aca="false">IF(CV26=1,Premissas!$C$8,N(EO25))+EN26</f>
        <v>467732.634858466</v>
      </c>
      <c r="EP26" s="40" t="n">
        <f aca="false">DC26*Premissas!$F$13/12+DE26*Premissas!$F$14/12</f>
        <v>20056.6161146793</v>
      </c>
      <c r="EQ26" s="40" t="n">
        <f aca="false">N(EQ25)+EF26-EP26</f>
        <v>139399.281890923</v>
      </c>
      <c r="ER26" s="1"/>
      <c r="ES26" s="1"/>
      <c r="ET26" s="1"/>
      <c r="EU26" s="1"/>
      <c r="EV26" s="1"/>
      <c r="EW26" s="1"/>
      <c r="EX26" s="1"/>
      <c r="EY26" s="1"/>
    </row>
    <row r="27" customFormat="false" ht="15" hidden="false" customHeight="false" outlineLevel="0" collapsed="false">
      <c r="A27" s="1"/>
      <c r="B27" s="51" t="n">
        <f aca="false">B26+1</f>
        <v>22</v>
      </c>
      <c r="C27" s="52" t="n">
        <f aca="false">EDATE(Premissas!$C$7,B27-1)</f>
        <v>46935</v>
      </c>
      <c r="D27" s="53" t="n">
        <f aca="false">Premissas!$C$19*(1+Premissas!$C$20)^(B27-1)</f>
        <v>7.44117828683799</v>
      </c>
      <c r="E27" s="54" t="n">
        <f aca="false">IFERROR(D27/Premissas!$C$25,0)</f>
        <v>74.4117828683799</v>
      </c>
      <c r="F27" s="53" t="n">
        <f aca="false">(N(H26)+N(J26))*Premissas!$C$21+AH27</f>
        <v>4.67703329274186</v>
      </c>
      <c r="G27" s="55" t="n">
        <f aca="false">H27+I27+J27+K27</f>
        <v>67.4039012577279</v>
      </c>
      <c r="H27" s="53" t="n">
        <f aca="false">N(H26)*(1-Premissas!$C$21)+AB27</f>
        <v>48.8596702515965</v>
      </c>
      <c r="I27" s="53" t="n">
        <f aca="false">SUM(INDEX($AF$6:$AF$29,MAX(1,B27-11)):INDEX($AF$6:$AF$29,B27))</f>
        <v>8.43364581747217</v>
      </c>
      <c r="J27" s="53" t="n">
        <f aca="false">N(J26)*(1-Premissas!$C$21)+AD27</f>
        <v>8.62229475028174</v>
      </c>
      <c r="K27" s="53" t="n">
        <f aca="false">SUM(INDEX($AG$6:$AG$29,MAX(1,B27-11)):INDEX($AG$6:$AG$29,B27))</f>
        <v>1.48829043837744</v>
      </c>
      <c r="L27" s="56" t="n">
        <f aca="false">H27*Premissas!$C$13+I27*Premissas!$F$13/12+J27*Premissas!$C$14+K27*Premissas!$F$14/12</f>
        <v>4106.5930786508</v>
      </c>
      <c r="M27" s="40" t="n">
        <f aca="false">L27*12</f>
        <v>49279.1169438096</v>
      </c>
      <c r="N27" s="40" t="n">
        <f aca="false">IFERROR(L27/G27,0)</f>
        <v>60.9251542124941</v>
      </c>
      <c r="O27" s="40" t="n">
        <f aca="false">L27*Premissas!$C$30</f>
        <v>246.395584719048</v>
      </c>
      <c r="P27" s="40" t="n">
        <f aca="false">L27*Premissas!$C$28+AI27*Premissas!$C$29</f>
        <v>172.389406111769</v>
      </c>
      <c r="Q27" s="40" t="n">
        <f aca="false">G27*Premissas!$C$31</f>
        <v>33.7019506288639</v>
      </c>
      <c r="R27" s="40" t="n">
        <f aca="false">L27-O27-P27-Q27</f>
        <v>3654.10613719112</v>
      </c>
      <c r="S27" s="57" t="n">
        <f aca="false">IFERROR(R27/L27,0)</f>
        <v>0.88981451709641</v>
      </c>
      <c r="T27" s="40" t="n">
        <f aca="false">SUMPRODUCT(Premissas!$C$42:$C$61,--(Premissas!$D$42:$D$61&lt;=B27))</f>
        <v>3395</v>
      </c>
      <c r="U27" s="40" t="n">
        <f aca="false">Premissas!$C$34*(1+Premissas!$C$35)^(B27-1)</f>
        <v>2790.44185756425</v>
      </c>
      <c r="V27" s="40" t="n">
        <f aca="false">D27*Premissas!$C$36*Premissas!$C$37</f>
        <v>44.6470697210279</v>
      </c>
      <c r="W27" s="40" t="n">
        <f aca="false">O27+P27+Q27+T27+U27+V27</f>
        <v>6682.57586874495</v>
      </c>
      <c r="X27" s="56" t="n">
        <f aca="false">L27-W27</f>
        <v>-2575.98279009416</v>
      </c>
      <c r="Y27" s="40" t="n">
        <f aca="false">N(Y26)+X27</f>
        <v>-69123.7655000131</v>
      </c>
      <c r="Z27" s="40" t="n">
        <f aca="false">IFERROR((U27+V27)/D27,0)</f>
        <v>381</v>
      </c>
      <c r="AA27" s="54" t="n">
        <f aca="false">IFERROR(T27/(R27/G27),0)</f>
        <v>62.6244110538866</v>
      </c>
      <c r="AB27" s="58" t="n">
        <f aca="false">D27*(1-Premissas!$C$23)*(1-Premissas!$C$24)</f>
        <v>5.69250138943106</v>
      </c>
      <c r="AC27" s="58" t="n">
        <f aca="false">D27*(1-Premissas!$C$23)*Premissas!$C$24</f>
        <v>0.632500154381229</v>
      </c>
      <c r="AD27" s="58" t="n">
        <f aca="false">D27*Premissas!$C$23*(1-Premissas!$C$24)</f>
        <v>1.00455906872313</v>
      </c>
      <c r="AE27" s="58" t="n">
        <f aca="false">D27*Premissas!$C$23*Premissas!$C$24</f>
        <v>0.11161767430257</v>
      </c>
      <c r="AF27" s="58" t="n">
        <f aca="false">AC27+IF(B27&gt;12,INDEX($AC$6:$AC$29,B27-12)*Premissas!$C$22,0)</f>
        <v>0.854311595632201</v>
      </c>
      <c r="AG27" s="58" t="n">
        <f aca="false">AE27+IF(B27&gt;12,INDEX($AE$6:$AE$29,B27-12)*Premissas!$C$22,0)</f>
        <v>0.150760869817447</v>
      </c>
      <c r="AH27" s="58" t="n">
        <f aca="false">IF(B27&gt;12,(INDEX($AC$6:$AC$29,B27-12)+INDEX($AE$6:$AE$29,B27-12))*(1-Premissas!$C$22),0)</f>
        <v>0.260954636765849</v>
      </c>
      <c r="AI27" s="58" t="n">
        <f aca="false">H27+J27+AF27+AG27</f>
        <v>58.4870374673279</v>
      </c>
      <c r="AJ27" s="59" t="str">
        <f aca="false">IF(X27&gt;0,B27,"")</f>
        <v/>
      </c>
      <c r="AK27" s="40" t="n">
        <f aca="false">H27*Premissas!$C$13+J27*Premissas!$C$14</f>
        <v>3586.8746161172</v>
      </c>
      <c r="AL27" s="40" t="n">
        <f aca="false">AF27*Premissas!$F$13+AG27*Premissas!$F$14</f>
        <v>631.75739453522</v>
      </c>
      <c r="AM27" s="40" t="n">
        <f aca="false">AK27+AL27</f>
        <v>4218.63201065242</v>
      </c>
      <c r="AN27" s="40" t="n">
        <f aca="false">AM27*Premissas!$C$30</f>
        <v>253.117920639145</v>
      </c>
      <c r="AO27" s="40" t="n">
        <f aca="false">AM27*Premissas!$C$28+AI27*Premissas!$C$29</f>
        <v>176.310768731826</v>
      </c>
      <c r="AP27" s="40" t="n">
        <f aca="false">Q27</f>
        <v>33.7019506288639</v>
      </c>
      <c r="AQ27" s="40" t="n">
        <f aca="false">T27</f>
        <v>3395</v>
      </c>
      <c r="AR27" s="40" t="n">
        <f aca="false">U27+V27</f>
        <v>2835.08892728527</v>
      </c>
      <c r="AS27" s="40" t="n">
        <f aca="false">AN27+AO27+AP27+AQ27+AR27</f>
        <v>6693.21956728511</v>
      </c>
      <c r="AT27" s="56" t="n">
        <f aca="false">AM27-AS27</f>
        <v>-2474.58755663269</v>
      </c>
      <c r="AU27" s="56" t="n">
        <f aca="false">IF(B27=1,Premissas!$C$8,N(AU26))+AT27</f>
        <v>-66274.5902011693</v>
      </c>
      <c r="AV27" s="40" t="n">
        <f aca="false">I27*Premissas!$F$13/12+K27*Premissas!$F$14/12</f>
        <v>519.718462533594</v>
      </c>
      <c r="AW27" s="40" t="n">
        <f aca="false">N(AW26)+AL27-AV27</f>
        <v>3148.25999872247</v>
      </c>
      <c r="AX27" s="1"/>
      <c r="AY27" s="51" t="n">
        <f aca="false">AY26+1</f>
        <v>22</v>
      </c>
      <c r="AZ27" s="52" t="n">
        <f aca="false">EDATE(Premissas!$C$7,AY27-1)</f>
        <v>46935</v>
      </c>
      <c r="BA27" s="53" t="n">
        <f aca="false">Premissas!$D$19*(1+Premissas!$D$20)^(AY27-1)</f>
        <v>33.1244989988817</v>
      </c>
      <c r="BB27" s="54" t="n">
        <f aca="false">IFERROR(BA27/Premissas!$D$25,0)</f>
        <v>165.622494994409</v>
      </c>
      <c r="BC27" s="53" t="n">
        <f aca="false">(N(BE26)+N(BG26))*Premissas!$D$21+CE27</f>
        <v>11.1628724884809</v>
      </c>
      <c r="BD27" s="55" t="n">
        <f aca="false">BE27+BF27+BG27+BH27</f>
        <v>289.704942255499</v>
      </c>
      <c r="BE27" s="53" t="n">
        <f aca="false">N(BE26)*(1-Premissas!$D$21)+BY27</f>
        <v>164.274727845069</v>
      </c>
      <c r="BF27" s="53" t="n">
        <f aca="false">SUM(INDEX($CC$6:$CC$29,MAX(1,AY27-11)):INDEX($CC$6:$CC$29,AY27))</f>
        <v>53.0039788465557</v>
      </c>
      <c r="BG27" s="53" t="n">
        <f aca="false">N(BG26)*(1-Premissas!$D$21)+CA27</f>
        <v>54.7582426150229</v>
      </c>
      <c r="BH27" s="53" t="n">
        <f aca="false">SUM(INDEX($CD$6:$CD$29,MAX(1,AY27-11)):INDEX($CD$6:$CD$29,AY27))</f>
        <v>17.6679929488519</v>
      </c>
      <c r="BI27" s="56" t="n">
        <f aca="false">BE27*Premissas!$C$13+BF27*Premissas!$F$13/12+BG27*Premissas!$C$14+BH27*Premissas!$F$14/12</f>
        <v>18175.7603511865</v>
      </c>
      <c r="BJ27" s="40" t="n">
        <f aca="false">BI27*12</f>
        <v>218109.124214238</v>
      </c>
      <c r="BK27" s="40" t="n">
        <f aca="false">IFERROR(BI27/BD27,0)</f>
        <v>62.7388687596388</v>
      </c>
      <c r="BL27" s="40" t="n">
        <f aca="false">BI27*Premissas!$C$30</f>
        <v>1090.54562107119</v>
      </c>
      <c r="BM27" s="40" t="n">
        <f aca="false">BI27*Premissas!$C$28+CF27*Premissas!$C$29</f>
        <v>747.660847533512</v>
      </c>
      <c r="BN27" s="40" t="n">
        <f aca="false">BD27*Premissas!$C$31</f>
        <v>144.85247112775</v>
      </c>
      <c r="BO27" s="40" t="n">
        <f aca="false">BI27-BL27-BM27-BN27</f>
        <v>16192.701411454</v>
      </c>
      <c r="BP27" s="57" t="n">
        <f aca="false">IFERROR(BO27/BI27,0)</f>
        <v>0.890895406771635</v>
      </c>
      <c r="BQ27" s="40" t="n">
        <f aca="false">SUMPRODUCT(Premissas!$C$42:$C$61,--(Premissas!$D$42:$D$61&lt;=AY27))</f>
        <v>3395</v>
      </c>
      <c r="BR27" s="40" t="n">
        <f aca="false">Premissas!$C$34*(1+Premissas!$C$35)^(AY27-1)</f>
        <v>2790.44185756425</v>
      </c>
      <c r="BS27" s="40" t="n">
        <f aca="false">BA27*Premissas!$C$36*Premissas!$C$37</f>
        <v>198.74699399329</v>
      </c>
      <c r="BT27" s="40" t="n">
        <f aca="false">BL27+BM27+BN27+BQ27+BR27+BS27</f>
        <v>8367.24779128999</v>
      </c>
      <c r="BU27" s="56" t="n">
        <f aca="false">BI27-BT27</f>
        <v>9808.51255989651</v>
      </c>
      <c r="BV27" s="40" t="n">
        <f aca="false">N(BV26)+BU27</f>
        <v>39258.6650060735</v>
      </c>
      <c r="BW27" s="40" t="n">
        <f aca="false">IFERROR((BR27+BS27)/BA27,0)</f>
        <v>90.2410282992793</v>
      </c>
      <c r="BX27" s="54" t="n">
        <f aca="false">IFERROR(BQ27/(BO27/BD27),0)</f>
        <v>60.7402220275425</v>
      </c>
      <c r="BY27" s="58" t="n">
        <f aca="false">BA27*(1-Premissas!$D$23)*(1-Premissas!$D$24)</f>
        <v>19.874699399329</v>
      </c>
      <c r="BZ27" s="58" t="n">
        <f aca="false">BA27*(1-Premissas!$D$23)*Premissas!$D$24</f>
        <v>4.96867484983226</v>
      </c>
      <c r="CA27" s="58" t="n">
        <f aca="false">BA27*Premissas!$D$23*(1-Premissas!$D$24)</f>
        <v>6.62489979977635</v>
      </c>
      <c r="CB27" s="58" t="n">
        <f aca="false">BA27*Premissas!$D$23*Premissas!$D$24</f>
        <v>1.65622494994409</v>
      </c>
      <c r="CC27" s="58" t="n">
        <f aca="false">BZ27+IF(AY27&gt;12,INDEX($BZ$6:$BZ$29,AY27-12)*Premissas!$D$22,0)</f>
        <v>6.40267303551998</v>
      </c>
      <c r="CD27" s="58" t="n">
        <f aca="false">CB27+IF(AY27&gt;12,INDEX($CB$6:$CB$29,AY27-12)*Premissas!$D$22,0)</f>
        <v>2.13422434517333</v>
      </c>
      <c r="CE27" s="58" t="n">
        <f aca="false">IF(AY27&gt;12,(INDEX($BZ$6:$BZ$29,AY27-12)+INDEX($CB$6:$CB$29,AY27-12))*(1-Premissas!$D$22),0)</f>
        <v>1.02953715895529</v>
      </c>
      <c r="CF27" s="58" t="n">
        <f aca="false">BE27+BG27+CC27+CD27</f>
        <v>227.569867840785</v>
      </c>
      <c r="CG27" s="59" t="n">
        <f aca="false">IF(BU27&gt;0,AY27,"")</f>
        <v>22</v>
      </c>
      <c r="CH27" s="40" t="n">
        <f aca="false">BE27*Premissas!$C$13+BG27*Premissas!$C$14</f>
        <v>14324.75626809</v>
      </c>
      <c r="CI27" s="40" t="n">
        <f aca="false">CC27*Premissas!$F$13+CD27*Premissas!$F$14</f>
        <v>5582.23451274845</v>
      </c>
      <c r="CJ27" s="40" t="n">
        <f aca="false">CH27+CI27</f>
        <v>19906.9907808385</v>
      </c>
      <c r="CK27" s="40" t="n">
        <f aca="false">CJ27*Premissas!$C$30</f>
        <v>1194.41944685031</v>
      </c>
      <c r="CL27" s="40" t="n">
        <f aca="false">CJ27*Premissas!$C$28+CF27*Premissas!$C$29</f>
        <v>808.25391257133</v>
      </c>
      <c r="CM27" s="40" t="n">
        <f aca="false">BN27</f>
        <v>144.85247112775</v>
      </c>
      <c r="CN27" s="40" t="n">
        <f aca="false">BQ27</f>
        <v>3395</v>
      </c>
      <c r="CO27" s="40" t="n">
        <f aca="false">BR27+BS27</f>
        <v>2989.18885155754</v>
      </c>
      <c r="CP27" s="40" t="n">
        <f aca="false">CK27+CL27+CM27+CN27+CO27</f>
        <v>8531.71468210692</v>
      </c>
      <c r="CQ27" s="56" t="n">
        <f aca="false">CJ27-CP27</f>
        <v>11375.2760987315</v>
      </c>
      <c r="CR27" s="56" t="n">
        <f aca="false">IF(AY27=1,Premissas!$C$8,N(CR26))+CQ27</f>
        <v>61742.4172568373</v>
      </c>
      <c r="CS27" s="40" t="n">
        <f aca="false">BF27*Premissas!$F$13/12+BH27*Premissas!$F$14/12</f>
        <v>3851.0040830965</v>
      </c>
      <c r="CT27" s="40" t="n">
        <f aca="false">N(CT26)+CI27-CS27</f>
        <v>24843.9251389655</v>
      </c>
      <c r="CU27" s="1"/>
      <c r="CV27" s="51" t="n">
        <f aca="false">CV26+1</f>
        <v>22</v>
      </c>
      <c r="CW27" s="52" t="n">
        <f aca="false">EDATE(Premissas!$C$7,CV27-1)</f>
        <v>46935</v>
      </c>
      <c r="CX27" s="53" t="n">
        <f aca="false">Premissas!$E$19*(1+Premissas!$E$20)^(CV27-1)</f>
        <v>162.057723967019</v>
      </c>
      <c r="CY27" s="54" t="n">
        <f aca="false">IFERROR(CX27/Premissas!$E$25,0)</f>
        <v>540.192413223398</v>
      </c>
      <c r="CZ27" s="53" t="n">
        <f aca="false">(N(DB26)+N(DD26))*Premissas!$E$21+EB27</f>
        <v>24.0761431605461</v>
      </c>
      <c r="DA27" s="55" t="n">
        <f aca="false">DB27+DC27+DD27+DE27</f>
        <v>1211.67354267117</v>
      </c>
      <c r="DB27" s="53" t="n">
        <f aca="false">N(DB26)*(1-Premissas!$E$21)+DV27</f>
        <v>527.283755131966</v>
      </c>
      <c r="DC27" s="53" t="n">
        <f aca="false">SUM(INDEX($DZ$6:$DZ$29,MAX(1,CV27-11)):INDEX($DZ$6:$DZ$29,CV27))</f>
        <v>260.304047604297</v>
      </c>
      <c r="DD27" s="53" t="n">
        <f aca="false">N(DD26)*(1-Premissas!$E$21)+DX27</f>
        <v>283.922021994136</v>
      </c>
      <c r="DE27" s="53" t="n">
        <f aca="false">SUM(INDEX($EA$6:$EA$29,MAX(1,CV27-11)):INDEX($EA$6:$EA$29,CV27))</f>
        <v>140.163717940775</v>
      </c>
      <c r="DF27" s="56" t="n">
        <f aca="false">DB27*Premissas!$C$13+DC27*Premissas!$F$13/12+DD27*Premissas!$C$14+DE27*Premissas!$F$14/12</f>
        <v>78153.6515038662</v>
      </c>
      <c r="DG27" s="40" t="n">
        <f aca="false">DF27*12</f>
        <v>937843.818046394</v>
      </c>
      <c r="DH27" s="40" t="n">
        <f aca="false">IFERROR(DF27/DA27,0)</f>
        <v>64.500584317104</v>
      </c>
      <c r="DI27" s="40" t="n">
        <f aca="false">DF27*Premissas!$C$30</f>
        <v>4689.21909023197</v>
      </c>
      <c r="DJ27" s="40" t="n">
        <f aca="false">DF27*Premissas!$C$28+EC27*Premissas!$C$29</f>
        <v>3161.5828297784</v>
      </c>
      <c r="DK27" s="40" t="n">
        <f aca="false">DA27*Premissas!$C$31</f>
        <v>605.836771335587</v>
      </c>
      <c r="DL27" s="40" t="n">
        <f aca="false">DF27-DI27-DJ27-DK27</f>
        <v>69697.0128125202</v>
      </c>
      <c r="DM27" s="57" t="n">
        <f aca="false">IFERROR(DL27/DF27,0)</f>
        <v>0.891794707878395</v>
      </c>
      <c r="DN27" s="40" t="n">
        <f aca="false">SUMPRODUCT(Premissas!$C$42:$C$61,--(Premissas!$D$42:$D$61&lt;=CV27))</f>
        <v>3395</v>
      </c>
      <c r="DO27" s="40" t="n">
        <f aca="false">Premissas!$C$34*(1+Premissas!$C$35)^(CV27-1)</f>
        <v>2790.44185756425</v>
      </c>
      <c r="DP27" s="40" t="n">
        <f aca="false">CX27*Premissas!$C$36*Premissas!$C$37</f>
        <v>972.346343802116</v>
      </c>
      <c r="DQ27" s="40" t="n">
        <f aca="false">DI27+DJ27+DK27+DN27+DO27+DP27</f>
        <v>15614.4268927123</v>
      </c>
      <c r="DR27" s="56" t="n">
        <f aca="false">DF27-DQ27</f>
        <v>62539.2246111538</v>
      </c>
      <c r="DS27" s="40" t="n">
        <f aca="false">N(DS26)+DR27</f>
        <v>404115.509358335</v>
      </c>
      <c r="DT27" s="40" t="n">
        <f aca="false">IFERROR((DO27+DP27)/CX27,0)</f>
        <v>23.2188143166329</v>
      </c>
      <c r="DU27" s="54" t="n">
        <f aca="false">IFERROR(DN27/(DL27/DA27),0)</f>
        <v>59.0216353810457</v>
      </c>
      <c r="DV27" s="58" t="n">
        <f aca="false">CX27*(1-Premissas!$E$23)*(1-Premissas!$E$24)</f>
        <v>73.7362644049938</v>
      </c>
      <c r="DW27" s="58" t="n">
        <f aca="false">CX27*(1-Premissas!$E$23)*Premissas!$E$24</f>
        <v>31.6012561735688</v>
      </c>
      <c r="DX27" s="58" t="n">
        <f aca="false">CX27*Premissas!$E$23*(1-Premissas!$E$24)</f>
        <v>39.7041423719197</v>
      </c>
      <c r="DY27" s="58" t="n">
        <f aca="false">CX27*Premissas!$E$23*Premissas!$E$24</f>
        <v>17.016061016537</v>
      </c>
      <c r="DZ27" s="58" t="n">
        <f aca="false">DW27+IF(CV27&gt;12,INDEX($DW$6:$DW$29,CV27-12)*Premissas!$E$22,0)</f>
        <v>38.0902604660022</v>
      </c>
      <c r="EA27" s="58" t="n">
        <f aca="false">DY27+IF(CV27&gt;12,INDEX($DY$6:$DY$29,CV27-12)*Premissas!$E$22,0)</f>
        <v>20.5101402509243</v>
      </c>
      <c r="EB27" s="58" t="n">
        <f aca="false">IF(CV27&gt;12,(INDEX($DW$6:$DW$29,CV27-12)+INDEX($DY$6:$DY$29,CV27-12))*(1-Premissas!$E$22),0)</f>
        <v>2.49577088170517</v>
      </c>
      <c r="EC27" s="58" t="n">
        <f aca="false">DB27+DD27+DZ27+EA27</f>
        <v>869.806177843028</v>
      </c>
      <c r="ED27" s="59" t="n">
        <f aca="false">IF(DR27&gt;0,CV27,"")</f>
        <v>22</v>
      </c>
      <c r="EE27" s="40" t="n">
        <f aca="false">DB27*Premissas!$C$13+DD27*Premissas!$C$14</f>
        <v>55486.4751554254</v>
      </c>
      <c r="EF27" s="40" t="n">
        <f aca="false">DZ27*Premissas!$F$13+EA27*Premissas!$F$14</f>
        <v>39802.6227753515</v>
      </c>
      <c r="EG27" s="40" t="n">
        <f aca="false">EE27+EF27</f>
        <v>95289.0979307769</v>
      </c>
      <c r="EH27" s="40" t="n">
        <f aca="false">EG27*Premissas!$C$30</f>
        <v>5717.34587584661</v>
      </c>
      <c r="EI27" s="40" t="n">
        <f aca="false">EG27*Premissas!$C$28+EC27*Premissas!$C$29</f>
        <v>3761.32345472027</v>
      </c>
      <c r="EJ27" s="40" t="n">
        <f aca="false">DK27</f>
        <v>605.836771335587</v>
      </c>
      <c r="EK27" s="40" t="n">
        <f aca="false">DN27</f>
        <v>3395</v>
      </c>
      <c r="EL27" s="40" t="n">
        <f aca="false">DO27+DP27</f>
        <v>3762.78820136636</v>
      </c>
      <c r="EM27" s="40" t="n">
        <f aca="false">EH27+EI27+EJ27+EK27+EL27</f>
        <v>17242.2943032688</v>
      </c>
      <c r="EN27" s="56" t="n">
        <f aca="false">EG27-EM27</f>
        <v>78046.803627508</v>
      </c>
      <c r="EO27" s="56" t="n">
        <f aca="false">IF(CV27=1,Premissas!$C$8,N(EO26))+EN27</f>
        <v>545779.438485974</v>
      </c>
      <c r="EP27" s="40" t="n">
        <f aca="false">DC27*Premissas!$F$13/12+DE27*Premissas!$F$14/12</f>
        <v>22667.1763484408</v>
      </c>
      <c r="EQ27" s="40" t="n">
        <f aca="false">N(EQ26)+EF27-EP27</f>
        <v>156534.728317833</v>
      </c>
      <c r="ER27" s="1"/>
      <c r="ES27" s="1"/>
      <c r="ET27" s="1"/>
      <c r="EU27" s="1"/>
      <c r="EV27" s="1"/>
      <c r="EW27" s="1"/>
      <c r="EX27" s="1"/>
      <c r="EY27" s="1"/>
    </row>
    <row r="28" customFormat="false" ht="15" hidden="false" customHeight="false" outlineLevel="0" collapsed="false">
      <c r="A28" s="1"/>
      <c r="B28" s="51" t="n">
        <f aca="false">B27+1</f>
        <v>23</v>
      </c>
      <c r="C28" s="52" t="n">
        <f aca="false">EDATE(Premissas!$C$7,B28-1)</f>
        <v>46966</v>
      </c>
      <c r="D28" s="53" t="n">
        <f aca="false">Premissas!$C$19*(1+Premissas!$C$20)^(B28-1)</f>
        <v>7.66441363544313</v>
      </c>
      <c r="E28" s="54" t="n">
        <f aca="false">IFERROR(D28/Premissas!$C$25,0)</f>
        <v>76.6441363544313</v>
      </c>
      <c r="F28" s="53" t="n">
        <f aca="false">(N(H27)+N(J27))*Premissas!$C$21+AH28</f>
        <v>4.86734047601909</v>
      </c>
      <c r="G28" s="55" t="n">
        <f aca="false">H28+I28+J28+K28</f>
        <v>70.2009744171519</v>
      </c>
      <c r="H28" s="53" t="n">
        <f aca="false">N(H27)*(1-Premissas!$C$21)+AB28</f>
        <v>50.8141730625828</v>
      </c>
      <c r="I28" s="53" t="n">
        <f aca="false">SUM(INDEX($AF$6:$AF$29,MAX(1,B28-11)):INDEX($AF$6:$AF$29,B28))</f>
        <v>8.85665519199633</v>
      </c>
      <c r="J28" s="53" t="n">
        <f aca="false">N(J27)*(1-Premissas!$C$21)+AD28</f>
        <v>8.96720701104402</v>
      </c>
      <c r="K28" s="53" t="n">
        <f aca="false">SUM(INDEX($AG$6:$AG$29,MAX(1,B28-11)):INDEX($AG$6:$AG$29,B28))</f>
        <v>1.56293915152876</v>
      </c>
      <c r="L28" s="56" t="n">
        <f aca="false">H28*Premissas!$C$13+I28*Premissas!$F$13/12+J28*Premissas!$C$14+K28*Premissas!$F$14/12</f>
        <v>4276.14428300392</v>
      </c>
      <c r="M28" s="40" t="n">
        <f aca="false">L28*12</f>
        <v>51313.731396047</v>
      </c>
      <c r="N28" s="40" t="n">
        <f aca="false">IFERROR(L28/G28,0)</f>
        <v>60.9128907184961</v>
      </c>
      <c r="O28" s="40" t="n">
        <f aca="false">L28*Premissas!$C$30</f>
        <v>256.568656980235</v>
      </c>
      <c r="P28" s="40" t="n">
        <f aca="false">L28*Premissas!$C$28+AI28*Premissas!$C$29</f>
        <v>179.465186214527</v>
      </c>
      <c r="Q28" s="40" t="n">
        <f aca="false">G28*Premissas!$C$31</f>
        <v>35.100487208576</v>
      </c>
      <c r="R28" s="40" t="n">
        <f aca="false">L28-O28-P28-Q28</f>
        <v>3805.00995260058</v>
      </c>
      <c r="S28" s="57" t="n">
        <f aca="false">IFERROR(R28/L28,0)</f>
        <v>0.889822630102562</v>
      </c>
      <c r="T28" s="40" t="n">
        <f aca="false">SUMPRODUCT(Premissas!$C$42:$C$61,--(Premissas!$D$42:$D$61&lt;=B28))</f>
        <v>3395</v>
      </c>
      <c r="U28" s="40" t="n">
        <f aca="false">Premissas!$C$34*(1+Premissas!$C$35)^(B28-1)</f>
        <v>2874.15511329117</v>
      </c>
      <c r="V28" s="40" t="n">
        <f aca="false">D28*Premissas!$C$36*Premissas!$C$37</f>
        <v>45.9864818126588</v>
      </c>
      <c r="W28" s="40" t="n">
        <f aca="false">O28+P28+Q28+T28+U28+V28</f>
        <v>6786.27592550717</v>
      </c>
      <c r="X28" s="56" t="n">
        <f aca="false">L28-W28</f>
        <v>-2510.13164250325</v>
      </c>
      <c r="Y28" s="40" t="n">
        <f aca="false">N(Y27)+X28</f>
        <v>-71633.8971425164</v>
      </c>
      <c r="Z28" s="40" t="n">
        <f aca="false">IFERROR((U28+V28)/D28,0)</f>
        <v>381</v>
      </c>
      <c r="AA28" s="54" t="n">
        <f aca="false">IFERROR(T28/(R28/G28),0)</f>
        <v>62.6364480290885</v>
      </c>
      <c r="AB28" s="58" t="n">
        <f aca="false">D28*(1-Premissas!$C$23)*(1-Premissas!$C$24)</f>
        <v>5.86327643111399</v>
      </c>
      <c r="AC28" s="58" t="n">
        <f aca="false">D28*(1-Premissas!$C$23)*Premissas!$C$24</f>
        <v>0.651475159012666</v>
      </c>
      <c r="AD28" s="58" t="n">
        <f aca="false">D28*Premissas!$C$23*(1-Premissas!$C$24)</f>
        <v>1.03469584078482</v>
      </c>
      <c r="AE28" s="58" t="n">
        <f aca="false">D28*Premissas!$C$23*Premissas!$C$24</f>
        <v>0.114966204531647</v>
      </c>
      <c r="AF28" s="58" t="n">
        <f aca="false">AC28+IF(B28&gt;12,INDEX($AC$6:$AC$29,B28-12)*Premissas!$C$22,0)</f>
        <v>0.879940943501167</v>
      </c>
      <c r="AG28" s="58" t="n">
        <f aca="false">AE28+IF(B28&gt;12,INDEX($AE$6:$AE$29,B28-12)*Premissas!$C$22,0)</f>
        <v>0.155283695911971</v>
      </c>
      <c r="AH28" s="58" t="n">
        <f aca="false">IF(B28&gt;12,(INDEX($AC$6:$AC$29,B28-12)+INDEX($AE$6:$AE$29,B28-12))*(1-Premissas!$C$22),0)</f>
        <v>0.268783275868824</v>
      </c>
      <c r="AI28" s="58" t="n">
        <f aca="false">H28+J28+AF28+AG28</f>
        <v>60.81660471304</v>
      </c>
      <c r="AJ28" s="59" t="str">
        <f aca="false">IF(X28&gt;0,B28,"")</f>
        <v/>
      </c>
      <c r="AK28" s="40" t="n">
        <f aca="false">H28*Premissas!$C$13+J28*Premissas!$C$14</f>
        <v>3730.35811659431</v>
      </c>
      <c r="AL28" s="40" t="n">
        <f aca="false">AF28*Premissas!$F$13+AG28*Premissas!$F$14</f>
        <v>650.710116371276</v>
      </c>
      <c r="AM28" s="40" t="n">
        <f aca="false">AK28+AL28</f>
        <v>4381.06823296559</v>
      </c>
      <c r="AN28" s="40" t="n">
        <f aca="false">AM28*Premissas!$C$30</f>
        <v>262.864093977935</v>
      </c>
      <c r="AO28" s="40" t="n">
        <f aca="false">AM28*Premissas!$C$28+AI28*Premissas!$C$29</f>
        <v>183.137524463185</v>
      </c>
      <c r="AP28" s="40" t="n">
        <f aca="false">Q28</f>
        <v>35.100487208576</v>
      </c>
      <c r="AQ28" s="40" t="n">
        <f aca="false">T28</f>
        <v>3395</v>
      </c>
      <c r="AR28" s="40" t="n">
        <f aca="false">U28+V28</f>
        <v>2920.14159510383</v>
      </c>
      <c r="AS28" s="40" t="n">
        <f aca="false">AN28+AO28+AP28+AQ28+AR28</f>
        <v>6796.24370075353</v>
      </c>
      <c r="AT28" s="56" t="n">
        <f aca="false">AM28-AS28</f>
        <v>-2415.17546778794</v>
      </c>
      <c r="AU28" s="56" t="n">
        <f aca="false">IF(B28=1,Premissas!$C$8,N(AU27))+AT28</f>
        <v>-68689.7656689572</v>
      </c>
      <c r="AV28" s="40" t="n">
        <f aca="false">I28*Premissas!$F$13/12+K28*Premissas!$F$14/12</f>
        <v>545.786166409602</v>
      </c>
      <c r="AW28" s="40" t="n">
        <f aca="false">N(AW27)+AL28-AV28</f>
        <v>3253.18394868415</v>
      </c>
      <c r="AX28" s="1"/>
      <c r="AY28" s="51" t="n">
        <f aca="false">AY27+1</f>
        <v>23</v>
      </c>
      <c r="AZ28" s="52" t="n">
        <f aca="false">EDATE(Premissas!$C$7,AY28-1)</f>
        <v>46966</v>
      </c>
      <c r="BA28" s="53" t="n">
        <f aca="false">Premissas!$D$19*(1+Premissas!$D$20)^(AY28-1)</f>
        <v>35.4432139288035</v>
      </c>
      <c r="BB28" s="54" t="n">
        <f aca="false">IFERROR(BA28/Premissas!$D$25,0)</f>
        <v>177.216069644017</v>
      </c>
      <c r="BC28" s="53" t="n">
        <f aca="false">(N(BE27)+N(BG27))*Premissas!$D$21+CE28</f>
        <v>12.0532532830867</v>
      </c>
      <c r="BD28" s="55" t="n">
        <f aca="false">BE28+BF28+BG28+BH28</f>
        <v>313.094902901216</v>
      </c>
      <c r="BE28" s="53" t="n">
        <f aca="false">N(BE27)*(1-Premissas!$D$21)+BY28</f>
        <v>177.326919810097</v>
      </c>
      <c r="BF28" s="53" t="n">
        <f aca="false">SUM(INDEX($CC$6:$CC$29,MAX(1,AY28-11)):INDEX($CC$6:$CC$29,AY28))</f>
        <v>57.4942573658146</v>
      </c>
      <c r="BG28" s="53" t="n">
        <f aca="false">N(BG27)*(1-Premissas!$D$21)+CA28</f>
        <v>59.1089732700325</v>
      </c>
      <c r="BH28" s="53" t="n">
        <f aca="false">SUM(INDEX($CD$6:$CD$29,MAX(1,AY28-11)):INDEX($CD$6:$CD$29,AY28))</f>
        <v>19.1647524552715</v>
      </c>
      <c r="BI28" s="56" t="n">
        <f aca="false">BE28*Premissas!$C$13+BF28*Premissas!$F$13/12+BG28*Premissas!$C$14+BH28*Premissas!$F$14/12</f>
        <v>19640.1526763538</v>
      </c>
      <c r="BJ28" s="40" t="n">
        <f aca="false">BI28*12</f>
        <v>235681.832116245</v>
      </c>
      <c r="BK28" s="40" t="n">
        <f aca="false">IFERROR(BI28/BD28,0)</f>
        <v>62.729071902363</v>
      </c>
      <c r="BL28" s="40" t="n">
        <f aca="false">BI28*Premissas!$C$30</f>
        <v>1178.40916058123</v>
      </c>
      <c r="BM28" s="40" t="n">
        <f aca="false">BI28*Premissas!$C$28+CF28*Premissas!$C$29</f>
        <v>807.734826578343</v>
      </c>
      <c r="BN28" s="40" t="n">
        <f aca="false">BD28*Premissas!$C$31</f>
        <v>156.547451450608</v>
      </c>
      <c r="BO28" s="40" t="n">
        <f aca="false">BI28-BL28-BM28-BN28</f>
        <v>17497.4612377436</v>
      </c>
      <c r="BP28" s="57" t="n">
        <f aca="false">IFERROR(BO28/BI28,0)</f>
        <v>0.890902506008015</v>
      </c>
      <c r="BQ28" s="40" t="n">
        <f aca="false">SUMPRODUCT(Premissas!$C$42:$C$61,--(Premissas!$D$42:$D$61&lt;=AY28))</f>
        <v>3395</v>
      </c>
      <c r="BR28" s="40" t="n">
        <f aca="false">Premissas!$C$34*(1+Premissas!$C$35)^(AY28-1)</f>
        <v>2874.15511329117</v>
      </c>
      <c r="BS28" s="40" t="n">
        <f aca="false">BA28*Premissas!$C$36*Premissas!$C$37</f>
        <v>212.659283572821</v>
      </c>
      <c r="BT28" s="40" t="n">
        <f aca="false">BL28+BM28+BN28+BQ28+BR28+BS28</f>
        <v>8624.50583547417</v>
      </c>
      <c r="BU28" s="56" t="n">
        <f aca="false">BI28-BT28</f>
        <v>11015.6468408796</v>
      </c>
      <c r="BV28" s="40" t="n">
        <f aca="false">N(BV27)+BU28</f>
        <v>50274.3118469531</v>
      </c>
      <c r="BW28" s="40" t="n">
        <f aca="false">IFERROR((BR28+BS28)/BA28,0)</f>
        <v>87.0918309796801</v>
      </c>
      <c r="BX28" s="54" t="n">
        <f aca="false">IFERROR(BQ28/(BO28/BD28),0)</f>
        <v>60.7492241821194</v>
      </c>
      <c r="BY28" s="58" t="n">
        <f aca="false">BA28*(1-Premissas!$D$23)*(1-Premissas!$D$24)</f>
        <v>21.2659283572821</v>
      </c>
      <c r="BZ28" s="58" t="n">
        <f aca="false">BA28*(1-Premissas!$D$23)*Premissas!$D$24</f>
        <v>5.31648208932052</v>
      </c>
      <c r="CA28" s="58" t="n">
        <f aca="false">BA28*Premissas!$D$23*(1-Premissas!$D$24)</f>
        <v>7.08864278576069</v>
      </c>
      <c r="CB28" s="58" t="n">
        <f aca="false">BA28*Premissas!$D$23*Premissas!$D$24</f>
        <v>1.77216069644017</v>
      </c>
      <c r="CC28" s="58" t="n">
        <f aca="false">BZ28+IF(AY28&gt;12,INDEX($BZ$6:$BZ$29,AY28-12)*Premissas!$D$22,0)</f>
        <v>6.85086014800638</v>
      </c>
      <c r="CD28" s="58" t="n">
        <f aca="false">CB28+IF(AY28&gt;12,INDEX($CB$6:$CB$29,AY28-12)*Premissas!$D$22,0)</f>
        <v>2.28362004933546</v>
      </c>
      <c r="CE28" s="58" t="n">
        <f aca="false">IF(AY28&gt;12,(INDEX($BZ$6:$BZ$29,AY28-12)+INDEX($CB$6:$CB$29,AY28-12))*(1-Premissas!$D$22),0)</f>
        <v>1.10160476008216</v>
      </c>
      <c r="CF28" s="58" t="n">
        <f aca="false">BE28+BG28+CC28+CD28</f>
        <v>245.570373277472</v>
      </c>
      <c r="CG28" s="59" t="n">
        <f aca="false">IF(BU28&gt;0,AY28,"")</f>
        <v>23</v>
      </c>
      <c r="CH28" s="40" t="n">
        <f aca="false">BE28*Premissas!$C$13+BG28*Premissas!$C$14</f>
        <v>15462.9074074405</v>
      </c>
      <c r="CI28" s="40" t="n">
        <f aca="false">CC28*Premissas!$F$13+CD28*Premissas!$F$14</f>
        <v>5972.99092864084</v>
      </c>
      <c r="CJ28" s="40" t="n">
        <f aca="false">CH28+CI28</f>
        <v>21435.8983360813</v>
      </c>
      <c r="CK28" s="40" t="n">
        <f aca="false">CJ28*Premissas!$C$30</f>
        <v>1286.15390016488</v>
      </c>
      <c r="CL28" s="40" t="n">
        <f aca="false">CJ28*Premissas!$C$28+CF28*Premissas!$C$29</f>
        <v>870.585924668808</v>
      </c>
      <c r="CM28" s="40" t="n">
        <f aca="false">BN28</f>
        <v>156.547451450608</v>
      </c>
      <c r="CN28" s="40" t="n">
        <f aca="false">BQ28</f>
        <v>3395</v>
      </c>
      <c r="CO28" s="40" t="n">
        <f aca="false">BR28+BS28</f>
        <v>3086.81439686399</v>
      </c>
      <c r="CP28" s="40" t="n">
        <f aca="false">CK28+CL28+CM28+CN28+CO28</f>
        <v>8795.10167314829</v>
      </c>
      <c r="CQ28" s="56" t="n">
        <f aca="false">CJ28-CP28</f>
        <v>12640.796662933</v>
      </c>
      <c r="CR28" s="56" t="n">
        <f aca="false">IF(AY28=1,Premissas!$C$8,N(CR27))+CQ28</f>
        <v>74383.2139197703</v>
      </c>
      <c r="CS28" s="40" t="n">
        <f aca="false">BF28*Premissas!$F$13/12+BH28*Premissas!$F$14/12</f>
        <v>4177.24526891326</v>
      </c>
      <c r="CT28" s="40" t="n">
        <f aca="false">N(CT27)+CI28-CS28</f>
        <v>26639.6707986931</v>
      </c>
      <c r="CU28" s="1"/>
      <c r="CV28" s="51" t="n">
        <f aca="false">CV27+1</f>
        <v>23</v>
      </c>
      <c r="CW28" s="52" t="n">
        <f aca="false">EDATE(Premissas!$C$7,CV28-1)</f>
        <v>46966</v>
      </c>
      <c r="CX28" s="53" t="n">
        <f aca="false">Premissas!$E$19*(1+Premissas!$E$20)^(CV28-1)</f>
        <v>181.504650843062</v>
      </c>
      <c r="CY28" s="54" t="n">
        <f aca="false">IFERROR(CX28/Premissas!$E$25,0)</f>
        <v>605.015502810205</v>
      </c>
      <c r="CZ28" s="53" t="n">
        <f aca="false">(N(DB27)+N(DD27))*Premissas!$E$21+EB28</f>
        <v>27.1314367012929</v>
      </c>
      <c r="DA28" s="55" t="n">
        <f aca="false">DB28+DC28+DD28+DE28</f>
        <v>1366.04675681294</v>
      </c>
      <c r="DB28" s="53" t="n">
        <f aca="false">N(DB27)*(1-Premissas!$E$21)+DV28</f>
        <v>594.0498586116</v>
      </c>
      <c r="DC28" s="53" t="n">
        <f aca="false">SUM(INDEX($DZ$6:$DZ$29,MAX(1,CV28-11)):INDEX($DZ$6:$DZ$29,CV28))</f>
        <v>293.880533316812</v>
      </c>
      <c r="DD28" s="53" t="n">
        <f aca="false">N(DD27)*(1-Premissas!$E$21)+DX28</f>
        <v>319.873000790862</v>
      </c>
      <c r="DE28" s="53" t="n">
        <f aca="false">SUM(INDEX($EA$6:$EA$29,MAX(1,CV28-11)):INDEX($EA$6:$EA$29,CV28))</f>
        <v>158.243364093668</v>
      </c>
      <c r="DF28" s="56" t="n">
        <f aca="false">DB28*Premissas!$C$13+DC28*Premissas!$F$13/12+DD28*Premissas!$C$14+DE28*Premissas!$F$14/12</f>
        <v>88103.3273933821</v>
      </c>
      <c r="DG28" s="40" t="n">
        <f aca="false">DF28*12</f>
        <v>1057239.92872058</v>
      </c>
      <c r="DH28" s="40" t="n">
        <f aca="false">IFERROR(DF28/DA28,0)</f>
        <v>64.4951038125018</v>
      </c>
      <c r="DI28" s="40" t="n">
        <f aca="false">DF28*Premissas!$C$30</f>
        <v>5286.19964360292</v>
      </c>
      <c r="DJ28" s="40" t="n">
        <f aca="false">DF28*Premissas!$C$28+EC28*Premissas!$C$29</f>
        <v>3563.59855978903</v>
      </c>
      <c r="DK28" s="40" t="n">
        <f aca="false">DA28*Premissas!$C$31</f>
        <v>683.023378406471</v>
      </c>
      <c r="DL28" s="40" t="n">
        <f aca="false">DF28-DI28-DJ28-DK28</f>
        <v>78570.5058115836</v>
      </c>
      <c r="DM28" s="57" t="n">
        <f aca="false">IFERROR(DL28/DF28,0)</f>
        <v>0.891799528305732</v>
      </c>
      <c r="DN28" s="40" t="n">
        <f aca="false">SUMPRODUCT(Premissas!$C$42:$C$61,--(Premissas!$D$42:$D$61&lt;=CV28))</f>
        <v>3395</v>
      </c>
      <c r="DO28" s="40" t="n">
        <f aca="false">Premissas!$C$34*(1+Premissas!$C$35)^(CV28-1)</f>
        <v>2874.15511329117</v>
      </c>
      <c r="DP28" s="40" t="n">
        <f aca="false">CX28*Premissas!$C$36*Premissas!$C$37</f>
        <v>1089.02790505837</v>
      </c>
      <c r="DQ28" s="40" t="n">
        <f aca="false">DI28+DJ28+DK28+DN28+DO28+DP28</f>
        <v>16891.004600148</v>
      </c>
      <c r="DR28" s="56" t="n">
        <f aca="false">DF28-DQ28</f>
        <v>71212.3227932341</v>
      </c>
      <c r="DS28" s="40" t="n">
        <f aca="false">N(DS27)+DR28</f>
        <v>475327.832151569</v>
      </c>
      <c r="DT28" s="40" t="n">
        <f aca="false">IFERROR((DO28+DP28)/CX28,0)</f>
        <v>21.8351595947606</v>
      </c>
      <c r="DU28" s="54" t="n">
        <f aca="false">IFERROR(DN28/(DL28/DA28),0)</f>
        <v>59.0263317192009</v>
      </c>
      <c r="DV28" s="58" t="n">
        <f aca="false">CX28*(1-Premissas!$E$23)*(1-Premissas!$E$24)</f>
        <v>82.584616133593</v>
      </c>
      <c r="DW28" s="58" t="n">
        <f aca="false">CX28*(1-Premissas!$E$23)*Premissas!$E$24</f>
        <v>35.393406914397</v>
      </c>
      <c r="DX28" s="58" t="n">
        <f aca="false">CX28*Premissas!$E$23*(1-Premissas!$E$24)</f>
        <v>44.4686394565501</v>
      </c>
      <c r="DY28" s="58" t="n">
        <f aca="false">CX28*Premissas!$E$23*Premissas!$E$24</f>
        <v>19.0579883385215</v>
      </c>
      <c r="DZ28" s="58" t="n">
        <f aca="false">DW28+IF(CV28&gt;12,INDEX($DW$6:$DW$29,CV28-12)*Premissas!$E$22,0)</f>
        <v>42.6610917219225</v>
      </c>
      <c r="EA28" s="58" t="n">
        <f aca="false">DY28+IF(CV28&gt;12,INDEX($DY$6:$DY$29,CV28-12)*Premissas!$E$22,0)</f>
        <v>22.9713570810352</v>
      </c>
      <c r="EB28" s="58" t="n">
        <f aca="false">IF(CV28&gt;12,(INDEX($DW$6:$DW$29,CV28-12)+INDEX($DY$6:$DY$29,CV28-12))*(1-Premissas!$E$22),0)</f>
        <v>2.79526338750979</v>
      </c>
      <c r="EC28" s="58" t="n">
        <f aca="false">DB28+DD28+DZ28+EA28</f>
        <v>979.55530820542</v>
      </c>
      <c r="ED28" s="59" t="n">
        <f aca="false">IF(DR28&gt;0,CV28,"")</f>
        <v>23</v>
      </c>
      <c r="EE28" s="40" t="n">
        <f aca="false">DB28*Premissas!$C$13+DD28*Premissas!$C$14</f>
        <v>62512.3235831284</v>
      </c>
      <c r="EF28" s="40" t="n">
        <f aca="false">DZ28*Premissas!$F$13+EA28*Premissas!$F$14</f>
        <v>44578.9375083937</v>
      </c>
      <c r="EG28" s="40" t="n">
        <f aca="false">EE28+EF28</f>
        <v>107091.261091522</v>
      </c>
      <c r="EH28" s="40" t="n">
        <f aca="false">EG28*Premissas!$C$30</f>
        <v>6425.47566549133</v>
      </c>
      <c r="EI28" s="40" t="n">
        <f aca="false">EG28*Premissas!$C$28+EC28*Premissas!$C$29</f>
        <v>4228.17623922393</v>
      </c>
      <c r="EJ28" s="40" t="n">
        <f aca="false">DK28</f>
        <v>683.023378406471</v>
      </c>
      <c r="EK28" s="40" t="n">
        <f aca="false">DN28</f>
        <v>3395</v>
      </c>
      <c r="EL28" s="40" t="n">
        <f aca="false">DO28+DP28</f>
        <v>3963.18301834954</v>
      </c>
      <c r="EM28" s="40" t="n">
        <f aca="false">EH28+EI28+EJ28+EK28+EL28</f>
        <v>18694.8583014713</v>
      </c>
      <c r="EN28" s="56" t="n">
        <f aca="false">EG28-EM28</f>
        <v>88396.4027900508</v>
      </c>
      <c r="EO28" s="56" t="n">
        <f aca="false">IF(CV28=1,Premissas!$C$8,N(EO27))+EN28</f>
        <v>634175.841276025</v>
      </c>
      <c r="EP28" s="40" t="n">
        <f aca="false">DC28*Premissas!$F$13/12+DE28*Premissas!$F$14/12</f>
        <v>25591.0038102537</v>
      </c>
      <c r="EQ28" s="40" t="n">
        <f aca="false">N(EQ27)+EF28-EP28</f>
        <v>175522.662015973</v>
      </c>
      <c r="ER28" s="1"/>
      <c r="ES28" s="1"/>
      <c r="ET28" s="1"/>
      <c r="EU28" s="1"/>
      <c r="EV28" s="1"/>
      <c r="EW28" s="1"/>
      <c r="EX28" s="1"/>
      <c r="EY28" s="1"/>
    </row>
    <row r="29" customFormat="false" ht="15" hidden="false" customHeight="false" outlineLevel="0" collapsed="false">
      <c r="A29" s="1"/>
      <c r="B29" s="51" t="n">
        <f aca="false">B28+1</f>
        <v>24</v>
      </c>
      <c r="C29" s="52" t="n">
        <f aca="false">EDATE(Premissas!$C$7,B29-1)</f>
        <v>46997</v>
      </c>
      <c r="D29" s="53" t="n">
        <f aca="false">Premissas!$C$19*(1+Premissas!$C$20)^(B29-1)</f>
        <v>7.89434604450642</v>
      </c>
      <c r="E29" s="54" t="n">
        <f aca="false">IFERROR(D29/Premissas!$C$25,0)</f>
        <v>78.9434604450642</v>
      </c>
      <c r="F29" s="53" t="n">
        <f aca="false">(N(H28)+N(J28))*Premissas!$C$21+AH29</f>
        <v>5.05935718003504</v>
      </c>
      <c r="G29" s="55" t="n">
        <f aca="false">H29+I29+J29+K29</f>
        <v>73.0359632816233</v>
      </c>
      <c r="H29" s="53" t="n">
        <f aca="false">N(H28)*(1-Premissas!$C$21)+AB29</f>
        <v>52.7882139416236</v>
      </c>
      <c r="I29" s="53" t="n">
        <f aca="false">SUM(INDEX($AF$6:$AF$29,MAX(1,B29-11)):INDEX($AF$6:$AF$29,B29))</f>
        <v>9.29235484775622</v>
      </c>
      <c r="J29" s="53" t="n">
        <f aca="false">N(J28)*(1-Premissas!$C$21)+AD29</f>
        <v>9.31556716616887</v>
      </c>
      <c r="K29" s="53" t="n">
        <f aca="false">SUM(INDEX($AG$6:$AG$29,MAX(1,B29-11)):INDEX($AG$6:$AG$29,B29))</f>
        <v>1.63982732607463</v>
      </c>
      <c r="L29" s="56" t="n">
        <f aca="false">H29*Premissas!$C$13+I29*Premissas!$F$13/12+J29*Premissas!$C$14+K29*Premissas!$F$14/12</f>
        <v>4447.91184252814</v>
      </c>
      <c r="M29" s="40" t="n">
        <f aca="false">L29*12</f>
        <v>53374.9421103377</v>
      </c>
      <c r="N29" s="40" t="n">
        <f aca="false">IFERROR(L29/G29,0)</f>
        <v>60.9002968219533</v>
      </c>
      <c r="O29" s="40" t="n">
        <f aca="false">L29*Premissas!$C$30</f>
        <v>266.874710551688</v>
      </c>
      <c r="P29" s="40" t="n">
        <f aca="false">L29*Premissas!$C$28+AI29*Premissas!$C$29</f>
        <v>186.630245106815</v>
      </c>
      <c r="Q29" s="40" t="n">
        <f aca="false">G29*Premissas!$C$31</f>
        <v>36.5179816408117</v>
      </c>
      <c r="R29" s="40" t="n">
        <f aca="false">L29-O29-P29-Q29</f>
        <v>3957.88890522883</v>
      </c>
      <c r="S29" s="57" t="n">
        <f aca="false">IFERROR(R29/L29,0)</f>
        <v>0.889830789222479</v>
      </c>
      <c r="T29" s="40" t="n">
        <f aca="false">SUMPRODUCT(Premissas!$C$42:$C$61,--(Premissas!$D$42:$D$61&lt;=B29))</f>
        <v>3395</v>
      </c>
      <c r="U29" s="40" t="n">
        <f aca="false">Premissas!$C$34*(1+Premissas!$C$35)^(B29-1)</f>
        <v>2960.37976668991</v>
      </c>
      <c r="V29" s="40" t="n">
        <f aca="false">D29*Premissas!$C$36*Premissas!$C$37</f>
        <v>47.3660762670385</v>
      </c>
      <c r="W29" s="40" t="n">
        <f aca="false">O29+P29+Q29+T29+U29+V29</f>
        <v>6892.76878025626</v>
      </c>
      <c r="X29" s="56" t="n">
        <f aca="false">L29-W29</f>
        <v>-2444.85693772812</v>
      </c>
      <c r="Y29" s="40" t="n">
        <f aca="false">N(Y28)+X29</f>
        <v>-74078.7540802445</v>
      </c>
      <c r="Z29" s="40" t="n">
        <f aca="false">IFERROR((U29+V29)/D29,0)</f>
        <v>381</v>
      </c>
      <c r="AA29" s="54" t="n">
        <f aca="false">IFERROR(T29/(R29/G29),0)</f>
        <v>62.6488265028186</v>
      </c>
      <c r="AB29" s="58" t="n">
        <f aca="false">D29*(1-Premissas!$C$23)*(1-Premissas!$C$24)</f>
        <v>6.03917472404741</v>
      </c>
      <c r="AC29" s="58" t="n">
        <f aca="false">D29*(1-Premissas!$C$23)*Premissas!$C$24</f>
        <v>0.671019413783046</v>
      </c>
      <c r="AD29" s="58" t="n">
        <f aca="false">D29*Premissas!$C$23*(1-Premissas!$C$24)</f>
        <v>1.06573671600837</v>
      </c>
      <c r="AE29" s="58" t="n">
        <f aca="false">D29*Premissas!$C$23*Premissas!$C$24</f>
        <v>0.118415190667596</v>
      </c>
      <c r="AF29" s="58" t="n">
        <f aca="false">AC29+IF(B29&gt;12,INDEX($AC$6:$AC$29,B29-12)*Premissas!$C$22,0)</f>
        <v>0.906339171806202</v>
      </c>
      <c r="AG29" s="58" t="n">
        <f aca="false">AE29+IF(B29&gt;12,INDEX($AE$6:$AE$29,B29-12)*Premissas!$C$22,0)</f>
        <v>0.15994220678933</v>
      </c>
      <c r="AH29" s="58" t="n">
        <f aca="false">IF(B29&gt;12,(INDEX($AC$6:$AC$29,B29-12)+INDEX($AE$6:$AE$29,B29-12))*(1-Premissas!$C$22),0)</f>
        <v>0.276846774144889</v>
      </c>
      <c r="AI29" s="58" t="n">
        <f aca="false">H29+J29+AF29+AG29</f>
        <v>63.170062486388</v>
      </c>
      <c r="AJ29" s="59" t="str">
        <f aca="false">IF(X29&gt;0,B29,"")</f>
        <v/>
      </c>
      <c r="AK29" s="40" t="n">
        <f aca="false">H29*Premissas!$C$13+J29*Premissas!$C$14</f>
        <v>3875.27594112625</v>
      </c>
      <c r="AL29" s="40" t="n">
        <f aca="false">AF29*Premissas!$F$13+AG29*Premissas!$F$14</f>
        <v>670.231419862415</v>
      </c>
      <c r="AM29" s="40" t="n">
        <f aca="false">AK29+AL29</f>
        <v>4545.50736098866</v>
      </c>
      <c r="AN29" s="40" t="n">
        <f aca="false">AM29*Premissas!$C$30</f>
        <v>272.73044165932</v>
      </c>
      <c r="AO29" s="40" t="n">
        <f aca="false">AM29*Premissas!$C$28+AI29*Premissas!$C$29</f>
        <v>190.046088252933</v>
      </c>
      <c r="AP29" s="40" t="n">
        <f aca="false">Q29</f>
        <v>36.5179816408117</v>
      </c>
      <c r="AQ29" s="40" t="n">
        <f aca="false">T29</f>
        <v>3395</v>
      </c>
      <c r="AR29" s="40" t="n">
        <f aca="false">U29+V29</f>
        <v>3007.74584295695</v>
      </c>
      <c r="AS29" s="40" t="n">
        <f aca="false">AN29+AO29+AP29+AQ29+AR29</f>
        <v>6902.04035451001</v>
      </c>
      <c r="AT29" s="56" t="n">
        <f aca="false">AM29-AS29</f>
        <v>-2356.53299352135</v>
      </c>
      <c r="AU29" s="56" t="n">
        <f aca="false">IF(B29=1,Premissas!$C$8,N(AU28))+AT29</f>
        <v>-71046.2986624786</v>
      </c>
      <c r="AV29" s="40" t="n">
        <f aca="false">I29*Premissas!$F$13/12+K29*Premissas!$F$14/12</f>
        <v>572.63590140189</v>
      </c>
      <c r="AW29" s="40" t="n">
        <f aca="false">N(AW28)+AL29-AV29</f>
        <v>3350.77946714467</v>
      </c>
      <c r="AX29" s="1"/>
      <c r="AY29" s="51" t="n">
        <f aca="false">AY28+1</f>
        <v>24</v>
      </c>
      <c r="AZ29" s="52" t="n">
        <f aca="false">EDATE(Premissas!$C$7,AY29-1)</f>
        <v>46997</v>
      </c>
      <c r="BA29" s="53" t="n">
        <f aca="false">Premissas!$D$19*(1+Premissas!$D$20)^(AY29-1)</f>
        <v>37.9242389038197</v>
      </c>
      <c r="BB29" s="54" t="n">
        <f aca="false">IFERROR(BA29/Premissas!$D$25,0)</f>
        <v>189.621194519098</v>
      </c>
      <c r="BC29" s="53" t="n">
        <f aca="false">(N(BE28)+N(BG28))*Premissas!$D$21+CE29</f>
        <v>13.0005117472944</v>
      </c>
      <c r="BD29" s="55" t="n">
        <f aca="false">BE29+BF29+BG29+BH29</f>
        <v>338.018630057741</v>
      </c>
      <c r="BE29" s="53" t="n">
        <f aca="false">N(BE28)*(1-Premissas!$D$21)+BY29</f>
        <v>191.215117161884</v>
      </c>
      <c r="BF29" s="53" t="n">
        <f aca="false">SUM(INDEX($CC$6:$CC$29,MAX(1,AY29-11)):INDEX($CC$6:$CC$29,AY29))</f>
        <v>62.2988553814216</v>
      </c>
      <c r="BG29" s="53" t="n">
        <f aca="false">N(BG28)*(1-Premissas!$D$21)+CA29</f>
        <v>63.7383723872948</v>
      </c>
      <c r="BH29" s="53" t="n">
        <f aca="false">SUM(INDEX($CD$6:$CD$29,MAX(1,AY29-11)):INDEX($CD$6:$CD$29,AY29))</f>
        <v>20.7662851271405</v>
      </c>
      <c r="BI29" s="56" t="n">
        <f aca="false">BE29*Premissas!$C$13+BF29*Premissas!$F$13/12+BG29*Premissas!$C$14+BH29*Premissas!$F$14/12</f>
        <v>21200.2815542535</v>
      </c>
      <c r="BJ29" s="40" t="n">
        <f aca="false">BI29*12</f>
        <v>254403.378651042</v>
      </c>
      <c r="BK29" s="40" t="n">
        <f aca="false">IFERROR(BI29/BD29,0)</f>
        <v>62.7192694989386</v>
      </c>
      <c r="BL29" s="40" t="n">
        <f aca="false">BI29*Premissas!$C$30</f>
        <v>1272.01689325521</v>
      </c>
      <c r="BM29" s="40" t="n">
        <f aca="false">BI29*Premissas!$C$28+CF29*Premissas!$C$29</f>
        <v>871.726272245437</v>
      </c>
      <c r="BN29" s="40" t="n">
        <f aca="false">BD29*Premissas!$C$31</f>
        <v>169.009315028871</v>
      </c>
      <c r="BO29" s="40" t="n">
        <f aca="false">BI29-BL29-BM29-BN29</f>
        <v>18887.529073724</v>
      </c>
      <c r="BP29" s="57" t="n">
        <f aca="false">IFERROR(BO29/BI29,0)</f>
        <v>0.890909350679567</v>
      </c>
      <c r="BQ29" s="40" t="n">
        <f aca="false">SUMPRODUCT(Premissas!$C$42:$C$61,--(Premissas!$D$42:$D$61&lt;=AY29))</f>
        <v>3395</v>
      </c>
      <c r="BR29" s="40" t="n">
        <f aca="false">Premissas!$C$34*(1+Premissas!$C$35)^(AY29-1)</f>
        <v>2960.37976668991</v>
      </c>
      <c r="BS29" s="40" t="n">
        <f aca="false">BA29*Premissas!$C$36*Premissas!$C$37</f>
        <v>227.545433422918</v>
      </c>
      <c r="BT29" s="40" t="n">
        <f aca="false">BL29+BM29+BN29+BQ29+BR29+BS29</f>
        <v>8895.67768064234</v>
      </c>
      <c r="BU29" s="56" t="n">
        <f aca="false">BI29-BT29</f>
        <v>12304.6038736112</v>
      </c>
      <c r="BV29" s="40" t="n">
        <f aca="false">N(BV28)+BU29</f>
        <v>62578.9157205643</v>
      </c>
      <c r="BW29" s="40" t="n">
        <f aca="false">IFERROR((BR29+BS29)/BA29,0)</f>
        <v>84.0603606626827</v>
      </c>
      <c r="BX29" s="54" t="n">
        <f aca="false">IFERROR(BQ29/(BO29/BD29),0)</f>
        <v>60.7582518902653</v>
      </c>
      <c r="BY29" s="58" t="n">
        <f aca="false">BA29*(1-Premissas!$D$23)*(1-Premissas!$D$24)</f>
        <v>22.7545433422918</v>
      </c>
      <c r="BZ29" s="58" t="n">
        <f aca="false">BA29*(1-Premissas!$D$23)*Premissas!$D$24</f>
        <v>5.68863583557296</v>
      </c>
      <c r="CA29" s="58" t="n">
        <f aca="false">BA29*Premissas!$D$23*(1-Premissas!$D$24)</f>
        <v>7.58484778076394</v>
      </c>
      <c r="CB29" s="58" t="n">
        <f aca="false">BA29*Premissas!$D$23*Premissas!$D$24</f>
        <v>1.89621194519099</v>
      </c>
      <c r="CC29" s="58" t="n">
        <f aca="false">BZ29+IF(AY29&gt;12,INDEX($BZ$6:$BZ$29,AY29-12)*Premissas!$D$22,0)</f>
        <v>7.33042035836683</v>
      </c>
      <c r="CD29" s="58" t="n">
        <f aca="false">CB29+IF(AY29&gt;12,INDEX($CB$6:$CB$29,AY29-12)*Premissas!$D$22,0)</f>
        <v>2.44347345278894</v>
      </c>
      <c r="CE29" s="58" t="n">
        <f aca="false">IF(AY29&gt;12,(INDEX($BZ$6:$BZ$29,AY29-12)+INDEX($CB$6:$CB$29,AY29-12))*(1-Premissas!$D$22),0)</f>
        <v>1.17871709328791</v>
      </c>
      <c r="CF29" s="58" t="n">
        <f aca="false">BE29+BG29+CC29+CD29</f>
        <v>264.727383360335</v>
      </c>
      <c r="CG29" s="59" t="n">
        <f aca="false">IF(BU29&gt;0,AY29,"")</f>
        <v>24</v>
      </c>
      <c r="CH29" s="40" t="n">
        <f aca="false">BE29*Premissas!$C$13+BG29*Premissas!$C$14</f>
        <v>16673.9582165163</v>
      </c>
      <c r="CI29" s="40" t="n">
        <f aca="false">CC29*Premissas!$F$13+CD29*Premissas!$F$14</f>
        <v>6391.1002936457</v>
      </c>
      <c r="CJ29" s="40" t="n">
        <f aca="false">CH29+CI29</f>
        <v>23065.058510162</v>
      </c>
      <c r="CK29" s="40" t="n">
        <f aca="false">CJ29*Premissas!$C$30</f>
        <v>1383.90351060972</v>
      </c>
      <c r="CL29" s="40" t="n">
        <f aca="false">CJ29*Premissas!$C$28+CF29*Premissas!$C$29</f>
        <v>936.993465702235</v>
      </c>
      <c r="CM29" s="40" t="n">
        <f aca="false">BN29</f>
        <v>169.009315028871</v>
      </c>
      <c r="CN29" s="40" t="n">
        <f aca="false">BQ29</f>
        <v>3395</v>
      </c>
      <c r="CO29" s="40" t="n">
        <f aca="false">BR29+BS29</f>
        <v>3187.92520011283</v>
      </c>
      <c r="CP29" s="40" t="n">
        <f aca="false">CK29+CL29+CM29+CN29+CO29</f>
        <v>9072.83149145365</v>
      </c>
      <c r="CQ29" s="56" t="n">
        <f aca="false">CJ29-CP29</f>
        <v>13992.2270187084</v>
      </c>
      <c r="CR29" s="56" t="n">
        <f aca="false">IF(AY29=1,Premissas!$C$8,N(CR28))+CQ29</f>
        <v>88375.4409384787</v>
      </c>
      <c r="CS29" s="40" t="n">
        <f aca="false">BF29*Premissas!$F$13/12+BH29*Premissas!$F$14/12</f>
        <v>4526.32333773719</v>
      </c>
      <c r="CT29" s="40" t="n">
        <f aca="false">N(CT28)+CI29-CS29</f>
        <v>28504.4477546016</v>
      </c>
      <c r="CU29" s="1"/>
      <c r="CV29" s="51" t="n">
        <f aca="false">CV28+1</f>
        <v>24</v>
      </c>
      <c r="CW29" s="52" t="n">
        <f aca="false">EDATE(Premissas!$C$7,CV29-1)</f>
        <v>46997</v>
      </c>
      <c r="CX29" s="53" t="n">
        <f aca="false">Premissas!$E$19*(1+Premissas!$E$20)^(CV29-1)</f>
        <v>203.285208944229</v>
      </c>
      <c r="CY29" s="54" t="n">
        <f aca="false">IFERROR(CX29/Premissas!$E$25,0)</f>
        <v>677.61736314743</v>
      </c>
      <c r="CZ29" s="53" t="n">
        <f aca="false">(N(DB28)+N(DD28))*Premissas!$E$21+EB29</f>
        <v>30.5483807760848</v>
      </c>
      <c r="DA29" s="55" t="n">
        <f aca="false">DB29+DC29+DD29+DE29</f>
        <v>1538.78358498109</v>
      </c>
      <c r="DB29" s="53" t="n">
        <f aca="false">N(DB28)*(1-Premissas!$E$21)+DV29</f>
        <v>668.723132922876</v>
      </c>
      <c r="DC29" s="53" t="n">
        <f aca="false">SUM(INDEX($DZ$6:$DZ$29,MAX(1,CV29-11)):INDEX($DZ$6:$DZ$29,CV29))</f>
        <v>331.48619731483</v>
      </c>
      <c r="DD29" s="53" t="n">
        <f aca="false">N(DD28)*(1-Premissas!$E$21)+DX29</f>
        <v>360.081686958472</v>
      </c>
      <c r="DE29" s="53" t="n">
        <f aca="false">SUM(INDEX($EA$6:$EA$29,MAX(1,CV29-11)):INDEX($EA$6:$EA$29,CV29))</f>
        <v>178.492567784908</v>
      </c>
      <c r="DF29" s="56" t="n">
        <f aca="false">DB29*Premissas!$C$13+DC29*Premissas!$F$13/12+DD29*Premissas!$C$14+DE29*Premissas!$F$14/12</f>
        <v>99235.9402473683</v>
      </c>
      <c r="DG29" s="40" t="n">
        <f aca="false">DF29*12</f>
        <v>1190831.28296842</v>
      </c>
      <c r="DH29" s="40" t="n">
        <f aca="false">IFERROR(DF29/DA29,0)</f>
        <v>64.4898614827556</v>
      </c>
      <c r="DI29" s="40" t="n">
        <f aca="false">DF29*Premissas!$C$30</f>
        <v>5954.1564148421</v>
      </c>
      <c r="DJ29" s="40" t="n">
        <f aca="false">DF29*Premissas!$C$28+EC29*Premissas!$C$29</f>
        <v>4013.39135830282</v>
      </c>
      <c r="DK29" s="40" t="n">
        <f aca="false">DA29*Premissas!$C$31</f>
        <v>769.391792490543</v>
      </c>
      <c r="DL29" s="40" t="n">
        <f aca="false">DF29-DI29-DJ29-DK29</f>
        <v>88499.0006817329</v>
      </c>
      <c r="DM29" s="57" t="n">
        <f aca="false">IFERROR(DL29/DF29,0)</f>
        <v>0.891803921655086</v>
      </c>
      <c r="DN29" s="40" t="n">
        <f aca="false">SUMPRODUCT(Premissas!$C$42:$C$61,--(Premissas!$D$42:$D$61&lt;=CV29))</f>
        <v>3395</v>
      </c>
      <c r="DO29" s="40" t="n">
        <f aca="false">Premissas!$C$34*(1+Premissas!$C$35)^(CV29-1)</f>
        <v>2960.37976668991</v>
      </c>
      <c r="DP29" s="40" t="n">
        <f aca="false">CX29*Premissas!$C$36*Premissas!$C$37</f>
        <v>1219.71125366537</v>
      </c>
      <c r="DQ29" s="40" t="n">
        <f aca="false">DI29+DJ29+DK29+DN29+DO29+DP29</f>
        <v>18312.0305859907</v>
      </c>
      <c r="DR29" s="56" t="n">
        <f aca="false">DF29-DQ29</f>
        <v>80923.9096613776</v>
      </c>
      <c r="DS29" s="40" t="n">
        <f aca="false">N(DS28)+DR29</f>
        <v>556251.741812946</v>
      </c>
      <c r="DT29" s="40" t="n">
        <f aca="false">IFERROR((DO29+DP29)/CX29,0)</f>
        <v>20.5626914130387</v>
      </c>
      <c r="DU29" s="54" t="n">
        <f aca="false">IFERROR(DN29/(DL29/DA29),0)</f>
        <v>59.0308391141993</v>
      </c>
      <c r="DV29" s="58" t="n">
        <f aca="false">CX29*(1-Premissas!$E$23)*(1-Premissas!$E$24)</f>
        <v>92.4947700696242</v>
      </c>
      <c r="DW29" s="58" t="n">
        <f aca="false">CX29*(1-Premissas!$E$23)*Premissas!$E$24</f>
        <v>39.6406157441246</v>
      </c>
      <c r="DX29" s="58" t="n">
        <f aca="false">CX29*Premissas!$E$23*(1-Premissas!$E$24)</f>
        <v>49.8048761913361</v>
      </c>
      <c r="DY29" s="58" t="n">
        <f aca="false">CX29*Premissas!$E$23*Premissas!$E$24</f>
        <v>21.344946939144</v>
      </c>
      <c r="DZ29" s="58" t="n">
        <f aca="false">DW29+IF(CV29&gt;12,INDEX($DW$6:$DW$29,CV29-12)*Premissas!$E$22,0)</f>
        <v>47.7804227285532</v>
      </c>
      <c r="EA29" s="58" t="n">
        <f aca="false">DY29+IF(CV29&gt;12,INDEX($DY$6:$DY$29,CV29-12)*Premissas!$E$22,0)</f>
        <v>25.7279199307594</v>
      </c>
      <c r="EB29" s="58" t="n">
        <f aca="false">IF(CV29&gt;12,(INDEX($DW$6:$DW$29,CV29-12)+INDEX($DY$6:$DY$29,CV29-12))*(1-Premissas!$E$22),0)</f>
        <v>3.13069499401097</v>
      </c>
      <c r="EC29" s="58" t="n">
        <f aca="false">DB29+DD29+DZ29+EA29</f>
        <v>1102.31316254066</v>
      </c>
      <c r="ED29" s="59" t="n">
        <f aca="false">IF(DR29&gt;0,CV29,"")</f>
        <v>24</v>
      </c>
      <c r="EE29" s="40" t="n">
        <f aca="false">DB29*Premissas!$C$13+DD29*Premissas!$C$14</f>
        <v>70370.2496798842</v>
      </c>
      <c r="EF29" s="40" t="n">
        <f aca="false">DZ29*Premissas!$F$13+EA29*Premissas!$F$14</f>
        <v>49928.4100094009</v>
      </c>
      <c r="EG29" s="40" t="n">
        <f aca="false">EE29+EF29</f>
        <v>120298.659689285</v>
      </c>
      <c r="EH29" s="40" t="n">
        <f aca="false">EG29*Premissas!$C$30</f>
        <v>7217.91958135711</v>
      </c>
      <c r="EI29" s="40" t="n">
        <f aca="false">EG29*Premissas!$C$28+EC29*Premissas!$C$29</f>
        <v>4750.5865387699</v>
      </c>
      <c r="EJ29" s="40" t="n">
        <f aca="false">DK29</f>
        <v>769.391792490543</v>
      </c>
      <c r="EK29" s="40" t="n">
        <f aca="false">DN29</f>
        <v>3395</v>
      </c>
      <c r="EL29" s="40" t="n">
        <f aca="false">DO29+DP29</f>
        <v>4180.09102035528</v>
      </c>
      <c r="EM29" s="40" t="n">
        <f aca="false">EH29+EI29+EJ29+EK29+EL29</f>
        <v>20312.9889329728</v>
      </c>
      <c r="EN29" s="56" t="n">
        <f aca="false">EG29-EM29</f>
        <v>99985.6707563123</v>
      </c>
      <c r="EO29" s="56" t="n">
        <f aca="false">IF(CV29=1,Premissas!$C$8,N(EO28))+EN29</f>
        <v>734161.512032337</v>
      </c>
      <c r="EP29" s="40" t="n">
        <f aca="false">DC29*Premissas!$F$13/12+DE29*Premissas!$F$14/12</f>
        <v>28865.6905674841</v>
      </c>
      <c r="EQ29" s="40" t="n">
        <f aca="false">N(EQ28)+EF29-EP29</f>
        <v>196585.38145789</v>
      </c>
      <c r="ER29" s="1"/>
      <c r="ES29" s="1"/>
      <c r="ET29" s="1"/>
      <c r="EU29" s="1"/>
      <c r="EV29" s="1"/>
      <c r="EW29" s="1"/>
      <c r="EX29" s="1"/>
      <c r="EY29" s="1"/>
    </row>
    <row r="30" customFormat="false" ht="15" hidden="false" customHeight="false" outlineLevel="0" collapsed="false">
      <c r="A30" s="1"/>
      <c r="B30" s="62"/>
      <c r="C30" s="62"/>
      <c r="D30" s="60" t="n">
        <f aca="false">SUM(D6:D29)</f>
        <v>137.705880861387</v>
      </c>
      <c r="E30" s="61" t="n">
        <f aca="false">SUM(E6:E29)</f>
        <v>1377.05880861387</v>
      </c>
      <c r="F30" s="60" t="n">
        <f aca="false">SUM(F6:F29)</f>
        <v>64.6699175797638</v>
      </c>
      <c r="G30" s="62"/>
      <c r="H30" s="62"/>
      <c r="I30" s="62"/>
      <c r="J30" s="62"/>
      <c r="K30" s="62"/>
      <c r="L30" s="47" t="n">
        <f aca="false">SUM(L6:L29)</f>
        <v>59192.9743232068</v>
      </c>
      <c r="M30" s="62"/>
      <c r="N30" s="62"/>
      <c r="O30" s="47" t="n">
        <f aca="false">SUM(O6:O29)</f>
        <v>3551.57845939241</v>
      </c>
      <c r="P30" s="47" t="n">
        <f aca="false">SUM(P6:P29)</f>
        <v>2489.04137007746</v>
      </c>
      <c r="Q30" s="47" t="n">
        <f aca="false">SUM(Q6:Q29)</f>
        <v>485.167965792925</v>
      </c>
      <c r="R30" s="47" t="n">
        <f aca="false">SUM(R6:R29)</f>
        <v>52667.186527944</v>
      </c>
      <c r="S30" s="62"/>
      <c r="T30" s="47" t="n">
        <f aca="false">SUM(T6:T29)</f>
        <v>74280</v>
      </c>
      <c r="U30" s="47" t="n">
        <f aca="false">SUM(U6:U29)</f>
        <v>51639.7053230202</v>
      </c>
      <c r="V30" s="47" t="n">
        <f aca="false">SUM(V6:V29)</f>
        <v>826.235285168323</v>
      </c>
      <c r="W30" s="47" t="n">
        <f aca="false">SUM(W6:W29)</f>
        <v>133271.728403451</v>
      </c>
      <c r="X30" s="47" t="n">
        <f aca="false">SUM(X6:X29)</f>
        <v>-74078.7540802445</v>
      </c>
      <c r="Y30" s="62"/>
      <c r="Z30" s="62"/>
      <c r="AA30" s="62"/>
      <c r="AB30" s="60" t="n">
        <f aca="false">SUM(AB6:AB29)</f>
        <v>105.344998858961</v>
      </c>
      <c r="AC30" s="60" t="n">
        <f aca="false">SUM(AC6:AC29)</f>
        <v>11.7049998732179</v>
      </c>
      <c r="AD30" s="60" t="n">
        <f aca="false">SUM(AD6:AD29)</f>
        <v>18.5902939162873</v>
      </c>
      <c r="AE30" s="60" t="n">
        <f aca="false">SUM(AE6:AE29)</f>
        <v>2.06558821292081</v>
      </c>
      <c r="AF30" s="60" t="n">
        <f aca="false">SUM(AF6:AF29)</f>
        <v>14.1176448986796</v>
      </c>
      <c r="AG30" s="60" t="n">
        <f aca="false">SUM(AG6:AG29)</f>
        <v>2.49134909976699</v>
      </c>
      <c r="AH30" s="60" t="n">
        <f aca="false">SUM(AH6:AH29)</f>
        <v>2.83840591230786</v>
      </c>
      <c r="AI30" s="60" t="n">
        <f aca="false">SUM(AI6:AI29)</f>
        <v>851.606670949438</v>
      </c>
      <c r="AJ30" s="62"/>
      <c r="AK30" s="47" t="n">
        <f aca="false">SUM(AK6:AK29)</f>
        <v>52103.8550417419</v>
      </c>
      <c r="AL30" s="47" t="n">
        <f aca="false">SUM(AL6:AL29)</f>
        <v>10439.8987486096</v>
      </c>
      <c r="AM30" s="47" t="n">
        <f aca="false">SUM(AM6:AM29)</f>
        <v>62543.7537903514</v>
      </c>
      <c r="AN30" s="47" t="n">
        <f aca="false">SUM(AN6:AN29)</f>
        <v>3752.62522742109</v>
      </c>
      <c r="AO30" s="47" t="n">
        <f aca="false">SUM(AO6:AO29)</f>
        <v>2606.31865142753</v>
      </c>
      <c r="AP30" s="47" t="n">
        <f aca="false">SUM(AP6:AP29)</f>
        <v>485.167965792925</v>
      </c>
      <c r="AQ30" s="47" t="n">
        <f aca="false">SUM(AQ6:AQ29)</f>
        <v>74280</v>
      </c>
      <c r="AR30" s="47" t="n">
        <f aca="false">SUM(AR6:AR29)</f>
        <v>52465.9406081885</v>
      </c>
      <c r="AS30" s="47" t="n">
        <f aca="false">SUM(AS6:AS29)</f>
        <v>133590.05245283</v>
      </c>
      <c r="AT30" s="47" t="n">
        <f aca="false">SUM(AT6:AT29)</f>
        <v>-71046.2986624786</v>
      </c>
      <c r="AU30" s="62"/>
      <c r="AV30" s="47" t="n">
        <f aca="false">SUM(AV6:AV29)</f>
        <v>7089.11928146489</v>
      </c>
      <c r="AW30" s="62"/>
      <c r="AX30" s="1"/>
      <c r="AY30" s="62"/>
      <c r="AZ30" s="62"/>
      <c r="BA30" s="60" t="n">
        <f aca="false">SUM(BA6:BA29)</f>
        <v>465.413366101244</v>
      </c>
      <c r="BB30" s="61" t="n">
        <f aca="false">SUM(BB6:BB29)</f>
        <v>2327.06683050622</v>
      </c>
      <c r="BC30" s="60" t="n">
        <f aca="false">SUM(BC6:BC29)</f>
        <v>127.394736043502</v>
      </c>
      <c r="BD30" s="62"/>
      <c r="BE30" s="62"/>
      <c r="BF30" s="62"/>
      <c r="BG30" s="62"/>
      <c r="BH30" s="62"/>
      <c r="BI30" s="47" t="n">
        <f aca="false">SUM(BI6:BI29)</f>
        <v>214730.2426228</v>
      </c>
      <c r="BJ30" s="62"/>
      <c r="BK30" s="62"/>
      <c r="BL30" s="47" t="n">
        <f aca="false">SUM(BL6:BL29)</f>
        <v>12883.814557368</v>
      </c>
      <c r="BM30" s="47" t="n">
        <f aca="false">SUM(BM6:BM29)</f>
        <v>8845.50875897443</v>
      </c>
      <c r="BN30" s="47" t="n">
        <f aca="false">SUM(BN6:BN29)</f>
        <v>1709.81806626533</v>
      </c>
      <c r="BO30" s="47" t="n">
        <f aca="false">SUM(BO6:BO29)</f>
        <v>191291.101240192</v>
      </c>
      <c r="BP30" s="62"/>
      <c r="BQ30" s="47" t="n">
        <f aca="false">SUM(BQ6:BQ29)</f>
        <v>74280</v>
      </c>
      <c r="BR30" s="47" t="n">
        <f aca="false">SUM(BR6:BR29)</f>
        <v>51639.7053230202</v>
      </c>
      <c r="BS30" s="47" t="n">
        <f aca="false">SUM(BS6:BS29)</f>
        <v>2792.48019660746</v>
      </c>
      <c r="BT30" s="47" t="n">
        <f aca="false">SUM(BT6:BT29)</f>
        <v>152151.326902235</v>
      </c>
      <c r="BU30" s="47" t="n">
        <f aca="false">SUM(BU6:BU29)</f>
        <v>62578.9157205642</v>
      </c>
      <c r="BV30" s="62"/>
      <c r="BW30" s="62"/>
      <c r="BX30" s="62"/>
      <c r="BY30" s="60" t="n">
        <f aca="false">SUM(BY6:BY29)</f>
        <v>279.248019660746</v>
      </c>
      <c r="BZ30" s="60" t="n">
        <f aca="false">SUM(BZ6:BZ29)</f>
        <v>69.8120049151866</v>
      </c>
      <c r="CA30" s="60" t="n">
        <f aca="false">SUM(CA6:CA29)</f>
        <v>93.0826732202487</v>
      </c>
      <c r="CB30" s="60" t="n">
        <f aca="false">SUM(CB6:CB29)</f>
        <v>23.2706683050622</v>
      </c>
      <c r="CC30" s="60" t="n">
        <f aca="false">SUM(CC6:CC29)</f>
        <v>83.7649969064643</v>
      </c>
      <c r="CD30" s="60" t="n">
        <f aca="false">SUM(CD6:CD29)</f>
        <v>27.9216656354881</v>
      </c>
      <c r="CE30" s="60" t="n">
        <f aca="false">SUM(CE6:CE29)</f>
        <v>10.0175327116866</v>
      </c>
      <c r="CF30" s="60" t="n">
        <f aca="false">SUM(CF6:CF29)</f>
        <v>2714.18421872744</v>
      </c>
      <c r="CG30" s="62"/>
      <c r="CH30" s="47" t="n">
        <f aca="false">SUM(CH6:CH29)</f>
        <v>170203.340174531</v>
      </c>
      <c r="CI30" s="47" t="n">
        <f aca="false">SUM(CI6:CI29)</f>
        <v>73031.35020287</v>
      </c>
      <c r="CJ30" s="47" t="n">
        <f aca="false">SUM(CJ6:CJ29)</f>
        <v>243234.690377401</v>
      </c>
      <c r="CK30" s="47" t="n">
        <f aca="false">SUM(CK6:CK29)</f>
        <v>14594.0814226441</v>
      </c>
      <c r="CL30" s="47" t="n">
        <f aca="false">SUM(CL6:CL29)</f>
        <v>9843.16443038549</v>
      </c>
      <c r="CM30" s="47" t="n">
        <f aca="false">SUM(CM6:CM29)</f>
        <v>1709.81806626533</v>
      </c>
      <c r="CN30" s="47" t="n">
        <f aca="false">SUM(CN6:CN29)</f>
        <v>74280</v>
      </c>
      <c r="CO30" s="47" t="n">
        <f aca="false">SUM(CO6:CO29)</f>
        <v>54432.1855196276</v>
      </c>
      <c r="CP30" s="47" t="n">
        <f aca="false">SUM(CP6:CP29)</f>
        <v>154859.249438923</v>
      </c>
      <c r="CQ30" s="47" t="n">
        <f aca="false">SUM(CQ6:CQ29)</f>
        <v>88375.4409384787</v>
      </c>
      <c r="CR30" s="62"/>
      <c r="CS30" s="47" t="n">
        <f aca="false">SUM(CS6:CS29)</f>
        <v>44526.9024482684</v>
      </c>
      <c r="CT30" s="62"/>
      <c r="CU30" s="1"/>
      <c r="CV30" s="62"/>
      <c r="CW30" s="62"/>
      <c r="CX30" s="60" t="n">
        <f aca="false">SUM(CX6:CX29)</f>
        <v>1772.3286168128</v>
      </c>
      <c r="CY30" s="61" t="n">
        <f aca="false">SUM(CY6:CY29)</f>
        <v>5907.76205604267</v>
      </c>
      <c r="CZ30" s="60" t="n">
        <f aca="false">SUM(CZ6:CZ29)</f>
        <v>233.545031831715</v>
      </c>
      <c r="DA30" s="62"/>
      <c r="DB30" s="62"/>
      <c r="DC30" s="62"/>
      <c r="DD30" s="62"/>
      <c r="DE30" s="62"/>
      <c r="DF30" s="47" t="n">
        <f aca="false">SUM(DF6:DF29)</f>
        <v>776897.427246826</v>
      </c>
      <c r="DG30" s="62"/>
      <c r="DH30" s="62"/>
      <c r="DI30" s="47" t="n">
        <f aca="false">SUM(DI6:DI29)</f>
        <v>46613.8456348096</v>
      </c>
      <c r="DJ30" s="47" t="n">
        <f aca="false">SUM(DJ6:DJ29)</f>
        <v>31458.439263307</v>
      </c>
      <c r="DK30" s="47" t="n">
        <f aca="false">SUM(DK6:DK29)</f>
        <v>6019.72351186633</v>
      </c>
      <c r="DL30" s="47" t="n">
        <f aca="false">SUM(DL6:DL29)</f>
        <v>692805.418836843</v>
      </c>
      <c r="DM30" s="62"/>
      <c r="DN30" s="47" t="n">
        <f aca="false">SUM(DN6:DN29)</f>
        <v>74280</v>
      </c>
      <c r="DO30" s="47" t="n">
        <f aca="false">SUM(DO6:DO29)</f>
        <v>51639.7053230202</v>
      </c>
      <c r="DP30" s="47" t="n">
        <f aca="false">SUM(DP6:DP29)</f>
        <v>10633.9717008768</v>
      </c>
      <c r="DQ30" s="47" t="n">
        <f aca="false">SUM(DQ6:DQ29)</f>
        <v>220645.68543388</v>
      </c>
      <c r="DR30" s="47" t="n">
        <f aca="false">SUM(DR6:DR29)</f>
        <v>556251.741812946</v>
      </c>
      <c r="DS30" s="62"/>
      <c r="DT30" s="62"/>
      <c r="DU30" s="62"/>
      <c r="DV30" s="60" t="n">
        <f aca="false">SUM(DV6:DV29)</f>
        <v>806.409520649825</v>
      </c>
      <c r="DW30" s="60" t="n">
        <f aca="false">SUM(DW6:DW29)</f>
        <v>345.604080278496</v>
      </c>
      <c r="DX30" s="60" t="n">
        <f aca="false">SUM(DX6:DX29)</f>
        <v>434.220511119136</v>
      </c>
      <c r="DY30" s="60" t="n">
        <f aca="false">SUM(DY6:DY29)</f>
        <v>186.094504765344</v>
      </c>
      <c r="DZ30" s="60" t="n">
        <f aca="false">SUM(DZ6:DZ29)</f>
        <v>402.075612133163</v>
      </c>
      <c r="EA30" s="60" t="n">
        <f aca="false">SUM(EA6:EA29)</f>
        <v>216.502252687087</v>
      </c>
      <c r="EB30" s="60" t="n">
        <f aca="false">SUM(EB6:EB29)</f>
        <v>21.7198199441023</v>
      </c>
      <c r="EC30" s="60" t="n">
        <f aca="false">SUM(EC6:EC29)</f>
        <v>8708.22308095536</v>
      </c>
      <c r="ED30" s="62"/>
      <c r="EE30" s="47" t="n">
        <f aca="false">SUM(EE6:EE29)</f>
        <v>553331.732783641</v>
      </c>
      <c r="EF30" s="47" t="n">
        <f aca="false">SUM(EF6:EF29)</f>
        <v>420151.075921075</v>
      </c>
      <c r="EG30" s="47" t="n">
        <f aca="false">SUM(EG6:EG29)</f>
        <v>973482.808704716</v>
      </c>
      <c r="EH30" s="47" t="n">
        <f aca="false">SUM(EH6:EH29)</f>
        <v>58408.968522283</v>
      </c>
      <c r="EI30" s="47" t="n">
        <f aca="false">SUM(EI6:EI29)</f>
        <v>38338.9276143332</v>
      </c>
      <c r="EJ30" s="47" t="n">
        <f aca="false">SUM(EJ6:EJ29)</f>
        <v>6019.72351186633</v>
      </c>
      <c r="EK30" s="47" t="n">
        <f aca="false">SUM(EK6:EK29)</f>
        <v>74280</v>
      </c>
      <c r="EL30" s="47" t="n">
        <f aca="false">SUM(EL6:EL29)</f>
        <v>62273.677023897</v>
      </c>
      <c r="EM30" s="47" t="n">
        <f aca="false">SUM(EM6:EM29)</f>
        <v>239321.296672379</v>
      </c>
      <c r="EN30" s="47" t="n">
        <f aca="false">SUM(EN6:EN29)</f>
        <v>734161.512032337</v>
      </c>
      <c r="EO30" s="62"/>
      <c r="EP30" s="47" t="n">
        <f aca="false">SUM(EP6:EP29)</f>
        <v>223565.694463185</v>
      </c>
      <c r="EQ30" s="62"/>
      <c r="ER30" s="1"/>
      <c r="ES30" s="1"/>
      <c r="ET30" s="1"/>
      <c r="EU30" s="1"/>
      <c r="EV30" s="1"/>
      <c r="EW30" s="1"/>
      <c r="EX30" s="1"/>
      <c r="EY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</row>
  </sheetData>
  <mergeCells count="4">
    <mergeCell ref="B2:ES2"/>
    <mergeCell ref="B4:AW4"/>
    <mergeCell ref="AY4:CT4"/>
    <mergeCell ref="CV4:EQ4"/>
  </mergeCells>
  <hyperlinks>
    <hyperlink ref="B1" r:id="rId1" location="'Comece%20Aqui'!A1" display="⌂  Início"/>
    <hyperlink ref="C1" r:id="rId2" location="'Dashboard'!A1" display="▦ 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2026-09-26T04:04:01Z</dcterms:created>
  <dc:creator>openpyxl</dc:creator>
  <dc:description/>
  <dc:language>en-US</dc:language>
  <cp:lastModifiedBy/>
  <dcterms:modified xsi:type="dcterms:W3CDTF">2026-09-26T04:04:14Z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