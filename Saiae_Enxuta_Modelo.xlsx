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nel" sheetId="1" state="visible" r:id="rId3"/>
    <sheet name="Premissas" sheetId="2" state="visible" r:id="rId4"/>
    <sheet name="Meu Mês" sheetId="3" state="visible" r:id="rId5"/>
    <sheet name="Projeçã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<sst xmlns="http://schemas.openxmlformats.org/spreadsheetml/2006/main" count="121" uniqueCount="111">
  <si>
    <t xml:space="preserve">⚙  Premissas</t>
  </si>
  <si>
    <t xml:space="preserve">✎  Meu Mês</t>
  </si>
  <si>
    <t xml:space="preserve">↗  Projeção</t>
  </si>
  <si>
    <t xml:space="preserve">Como usar:  1) Premissas — ajuste uma vez.   2) Meu Mês — no fim de cada mês, lance 6 números.   3) Painel — veja se está no rumo.</t>
  </si>
  <si>
    <t xml:space="preserve">Lançar o mês  →</t>
  </si>
  <si>
    <t xml:space="preserve">O PLANO  ·  O NEGÓCIO SE PAGA?</t>
  </si>
  <si>
    <t xml:space="preserve">EQUILÍBRIO</t>
  </si>
  <si>
    <t xml:space="preserve">CAPITAL NECESSÁRIO</t>
  </si>
  <si>
    <t xml:space="preserve">1º MÊS COM LUCRO</t>
  </si>
  <si>
    <t xml:space="preserve">LTV / CAC</t>
  </si>
  <si>
    <t xml:space="preserve">CLIENTES — MÊS 12</t>
  </si>
  <si>
    <t xml:space="preserve">MRR — MÊS 12</t>
  </si>
  <si>
    <t xml:space="preserve">pagam fixos + anúncios</t>
  </si>
  <si>
    <t xml:space="preserve">maior buraco no caixa</t>
  </si>
  <si>
    <t xml:space="preserve">no cenário em uso</t>
  </si>
  <si>
    <t xml:space="preserve">A REALIDADE  ·  O QUE VOCÊ LANÇOU NO MEU MÊS</t>
  </si>
  <si>
    <t xml:space="preserve">MESES LANÇADOS</t>
  </si>
  <si>
    <t xml:space="preserve">CLIENTES REAL × PLANO</t>
  </si>
  <si>
    <t xml:space="preserve">CHURN REAL</t>
  </si>
  <si>
    <t xml:space="preserve">CAC REAL</t>
  </si>
  <si>
    <t xml:space="preserve">SOBROU NO CAIXA</t>
  </si>
  <si>
    <t xml:space="preserve">CAIXA NO PLANO</t>
  </si>
  <si>
    <t xml:space="preserve">linhas preenchidas</t>
  </si>
  <si>
    <t xml:space="preserve">soma dos meses lançados</t>
  </si>
  <si>
    <t xml:space="preserve">mesmos meses, projetado</t>
  </si>
  <si>
    <t xml:space="preserve">EVOLUÇÃO</t>
  </si>
  <si>
    <t xml:space="preserve">ALERTAS</t>
  </si>
  <si>
    <t xml:space="preserve">Quer mais detalhe (plano anual separado, unit economics por plano, três cenários lado a lado)? Use a versão completa: Saiae_Financeiro.xlsx.</t>
  </si>
  <si>
    <t xml:space="preserve">⌂  Painel</t>
  </si>
  <si>
    <t xml:space="preserve">PREMISSAS  ·  PREENCHA UMA VEZ</t>
  </si>
  <si>
    <t xml:space="preserve">Campos AMARELO-CLAROS = você preenche. Clique em cada um para ver uma dica.</t>
  </si>
  <si>
    <t xml:space="preserve">GERAL</t>
  </si>
  <si>
    <t xml:space="preserve">Mês de início</t>
  </si>
  <si>
    <t xml:space="preserve">Primeiro mês de vendas</t>
  </si>
  <si>
    <t xml:space="preserve">Caixa inicial (R$)</t>
  </si>
  <si>
    <t xml:space="preserve">Dinheiro que já existe para bancar o começo</t>
  </si>
  <si>
    <t xml:space="preserve">Cenário em uso</t>
  </si>
  <si>
    <t xml:space="preserve">Realista</t>
  </si>
  <si>
    <t xml:space="preserve">Pessimista, Realista ou Otimista</t>
  </si>
  <si>
    <t xml:space="preserve">PREÇOS</t>
  </si>
  <si>
    <t xml:space="preserve">PLANO</t>
  </si>
  <si>
    <t xml:space="preserve">MENSAL</t>
  </si>
  <si>
    <t xml:space="preserve">DESCONTO ANUAL</t>
  </si>
  <si>
    <t xml:space="preserve">ANUAL (POR MÊS)</t>
  </si>
  <si>
    <t xml:space="preserve">ANUAL (COBRADO)</t>
  </si>
  <si>
    <t xml:space="preserve">Essencial</t>
  </si>
  <si>
    <t xml:space="preserve">Pro</t>
  </si>
  <si>
    <t xml:space="preserve">CLIENTES  ·  POR CENÁRIO</t>
  </si>
  <si>
    <t xml:space="preserve">PREMISSA</t>
  </si>
  <si>
    <t xml:space="preserve">PESSIMISTA</t>
  </si>
  <si>
    <t xml:space="preserve">REALISTA</t>
  </si>
  <si>
    <t xml:space="preserve">OTIMISTA</t>
  </si>
  <si>
    <t xml:space="preserve">EM USO</t>
  </si>
  <si>
    <t xml:space="preserve">O QUE É</t>
  </si>
  <si>
    <t xml:space="preserve">Novos clientes no mês 1</t>
  </si>
  <si>
    <t xml:space="preserve">Assinaturas novas no primeiro mês</t>
  </si>
  <si>
    <t xml:space="preserve">Crescimento dos novos clientes (ao mês)</t>
  </si>
  <si>
    <t xml:space="preserve">Ex.: 7% → 8; 8,6; 9,2 novos...</t>
  </si>
  <si>
    <t xml:space="preserve">Churn mensal</t>
  </si>
  <si>
    <t xml:space="preserve">% dos clientes que cancelam por mês</t>
  </si>
  <si>
    <t xml:space="preserve">% no plano Pro</t>
  </si>
  <si>
    <t xml:space="preserve">O restante fica no Essencial</t>
  </si>
  <si>
    <t xml:space="preserve">% que paga anual</t>
  </si>
  <si>
    <t xml:space="preserve">O restante paga mensal</t>
  </si>
  <si>
    <t xml:space="preserve">CUSTOS</t>
  </si>
  <si>
    <t xml:space="preserve">Taxas sobre o faturamento (imposto + gateway)</t>
  </si>
  <si>
    <t xml:space="preserve">Ex.: Simples 6% + gateway 3,5%. Confirme com o contador.</t>
  </si>
  <si>
    <t xml:space="preserve">Anúncios por mês (R$)</t>
  </si>
  <si>
    <t xml:space="preserve">Meta/Google/Instagram + comissão de indicação</t>
  </si>
  <si>
    <t xml:space="preserve">CUSTOS FIXOS DO MÊS</t>
  </si>
  <si>
    <t xml:space="preserve">DESCRIÇÃO</t>
  </si>
  <si>
    <t xml:space="preserve">VALOR MENSAL</t>
  </si>
  <si>
    <t xml:space="preserve">Hospedagem, banco de dados e tempo real</t>
  </si>
  <si>
    <t xml:space="preserve">Domínio e e-mail</t>
  </si>
  <si>
    <t xml:space="preserve">Ferramentas (IA, design, site)</t>
  </si>
  <si>
    <t xml:space="preserve">WhatsApp de atendimento</t>
  </si>
  <si>
    <t xml:space="preserve">Pró-labore</t>
  </si>
  <si>
    <t xml:space="preserve">Contador</t>
  </si>
  <si>
    <t xml:space="preserve">TOTAL DE CUSTOS FIXOS</t>
  </si>
  <si>
    <t xml:space="preserve">CALCULADO  (não precisa mexer)</t>
  </si>
  <si>
    <t xml:space="preserve">Ticket médio por cliente/mês</t>
  </si>
  <si>
    <t xml:space="preserve">Mistura de planos e de mensal/anual</t>
  </si>
  <si>
    <t xml:space="preserve">Sobra por cliente/mês (depois das taxas)</t>
  </si>
  <si>
    <t xml:space="preserve">É o que cada cliente paga das contas</t>
  </si>
  <si>
    <t xml:space="preserve">Valor médio pago à vista no plano anual</t>
  </si>
  <si>
    <t xml:space="preserve">Entra de uma vez no caixa</t>
  </si>
  <si>
    <t xml:space="preserve">Contas do mês (fixos + anúncios)</t>
  </si>
  <si>
    <t xml:space="preserve">MEU MÊS  ·  O QUE ACONTECEU DE VERDADE</t>
  </si>
  <si>
    <t xml:space="preserve">No fim de cada mês, preencha os 6 campos amarelo-claros da linha do mês. O resto compara com a projeção sozinho.</t>
  </si>
  <si>
    <t xml:space="preserve">VOCÊ LANÇA</t>
  </si>
  <si>
    <t xml:space="preserve">A PLANILHA CALCULA</t>
  </si>
  <si>
    <t xml:space="preserve">Nº</t>
  </si>
  <si>
    <t xml:space="preserve">MÊS</t>
  </si>
  <si>
    <t xml:space="preserve">CLIENTES ATIVOS (FIM DO MÊS)</t>
  </si>
  <si>
    <t xml:space="preserve">NOVOS</t>
  </si>
  <si>
    <t xml:space="preserve">CANCELADOS</t>
  </si>
  <si>
    <t xml:space="preserve">RECEBIDO (R$)</t>
  </si>
  <si>
    <t xml:space="preserve">GASTO TOTAL (R$)</t>
  </si>
  <si>
    <t xml:space="preserve">DESSE GASTO, ANÚNCIOS (R$)</t>
  </si>
  <si>
    <t xml:space="preserve">CLIENTES PROJETADOS</t>
  </si>
  <si>
    <t xml:space="preserve">REAL × PROJETADO</t>
  </si>
  <si>
    <t xml:space="preserve">Lance uma linha por mês, sempre no fim do mês.</t>
  </si>
  <si>
    <t xml:space="preserve">Churn real = cancelados ÷ clientes no início do mês.  CAC real = anúncios ÷ novos clientes.  Real × projetado em vermelho = mais de 10% abaixo do planejado.</t>
  </si>
  <si>
    <t xml:space="preserve">Mês a mês no cenário em uso. O plano anual entra inteiro no caixa quando é vendido ou renovado. Tudo automático.</t>
  </si>
  <si>
    <t xml:space="preserve">CLIENTES ATIVOS</t>
  </si>
  <si>
    <t xml:space="preserve">MRR</t>
  </si>
  <si>
    <t xml:space="preserve">LUCRO</t>
  </si>
  <si>
    <t xml:space="preserve">CAIXA DO MÊS</t>
  </si>
  <si>
    <t xml:space="preserve">CAIXA ACUMULADO</t>
  </si>
  <si>
    <t xml:space="preserve">MÊS COM LUCRO?</t>
  </si>
  <si>
    <t xml:space="preserve">TOTAL</t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</si>
</sst>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#,##0&quot; clientes&quot;"/>
    <numFmt numFmtId="166" formatCode="&quot;R$ &quot;#,##0;&quot;-R$ &quot;#,##0;&quot;R$ 0&quot;"/>
    <numFmt numFmtId="167" formatCode="mmm/yy"/>
    <numFmt numFmtId="168" formatCode="0.0\x;\-0.0\x;\-"/>
    <numFmt numFmtId="169" formatCode="#,##0;\-#,##0;\-"/>
    <numFmt numFmtId="170" formatCode="&quot;LTV R$ &quot;#,##0&quot; · ideal ≥ 3x&quot;"/>
    <numFmt numFmtId="171" formatCode="&quot;mês 24: &quot;#,##0"/>
    <numFmt numFmtId="172" formatCode="&quot;mês 24: R$ &quot;#,##0"/>
    <numFmt numFmtId="173" formatCode="0&quot; de 24&quot;"/>
    <numFmt numFmtId="174" formatCode="\+0%;\-0%;0%"/>
    <numFmt numFmtId="175" formatCode="0.0%;\-0.0%;\-"/>
    <numFmt numFmtId="176" formatCode="&quot;hoje: &quot;#,##0&quot; clientes&quot;"/>
    <numFmt numFmtId="177" formatCode="&quot;no plano: &quot;0.0%"/>
    <numFmt numFmtId="178" formatCode="&quot;no plano: R$ &quot;#,##0"/>
    <numFmt numFmtId="179" formatCode="#,##0"/>
    <numFmt numFmtId="180" formatCode="&quot;R$ &quot;#,##0"/>
    <numFmt numFmtId="181" formatCode="&quot;R$ &quot;#,##0.00;&quot;-R$ &quot;#,##0.00;\-"/>
    <numFmt numFmtId="182" formatCode="#,##0.0;\-#,##0.0;\-"/>
    <numFmt numFmtId="183" formatCode="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18171C"/>
      <name val="Figtree"/>
      <family val="0"/>
      <charset val="1"/>
    </font>
    <font>
      <b val="true"/>
      <sz val="18"/>
      <color rgb="FFFFFFFF"/>
      <name val="Outfit"/>
      <family val="0"/>
      <charset val="1"/>
    </font>
    <font>
      <sz val="9"/>
      <color rgb="FF5E5C66"/>
      <name val="Figtree"/>
      <family val="0"/>
      <charset val="1"/>
    </font>
    <font>
      <b val="true"/>
      <sz val="11"/>
      <color rgb="FF18171C"/>
      <name val="Outfit"/>
      <family val="0"/>
      <charset val="1"/>
    </font>
    <font>
      <b val="true"/>
      <sz val="9"/>
      <color rgb="FF5E5C66"/>
      <name val="Figtree"/>
      <family val="0"/>
      <charset val="1"/>
    </font>
    <font>
      <b val="true"/>
      <sz val="22"/>
      <color rgb="FF18171C"/>
      <name val="Outfit"/>
      <family val="0"/>
      <charset val="1"/>
    </font>
    <font>
      <b val="true"/>
      <sz val="11"/>
      <color rgb="FF5E5C66"/>
      <name val="Figtree"/>
      <family val="0"/>
      <charset val="1"/>
    </font>
    <font>
      <sz val="8"/>
      <color rgb="FF5E5C66"/>
      <name val="Figtree"/>
      <family val="0"/>
      <charset val="1"/>
    </font>
    <font>
      <b val="true"/>
      <sz val="12"/>
      <color rgb="FF18171C"/>
      <name val="Outfit"/>
      <family val="2"/>
    </font>
    <font>
      <sz val="10"/>
      <color rgb="FF000000"/>
      <name val="Calibri"/>
      <family val="2"/>
    </font>
    <font>
      <b val="true"/>
      <sz val="16"/>
      <color rgb="FFFFFFFF"/>
      <name val="Outfit"/>
      <family val="0"/>
      <charset val="1"/>
    </font>
    <font>
      <sz val="11"/>
      <color rgb="FF18171C"/>
      <name val="Figtree"/>
      <family val="0"/>
      <charset val="1"/>
    </font>
    <font>
      <b val="true"/>
      <sz val="11"/>
      <color rgb="FF18171C"/>
      <name val="Figtree"/>
      <family val="0"/>
      <charset val="1"/>
    </font>
    <font>
      <b val="true"/>
      <sz val="9"/>
      <color rgb="FF18171C"/>
      <name val="Figtree"/>
      <family val="0"/>
      <charset val="1"/>
    </font>
    <font>
      <b val="true"/>
      <sz val="9"/>
      <color rgb="FFFFFFFF"/>
      <name val="Figtree"/>
      <family val="0"/>
      <charset val="1"/>
    </font>
    <font>
      <sz val="11"/>
      <color rgb="FF5E5C66"/>
      <name val="Figtree"/>
      <family val="0"/>
      <charset val="1"/>
    </font>
    <font>
      <b val="true"/>
      <sz val="9"/>
      <color rgb="FFA34E00"/>
      <name val="Figtree"/>
      <family val="0"/>
      <charset val="1"/>
    </font>
    <font>
      <b val="true"/>
      <sz val="8"/>
      <color rgb="FF5E5C66"/>
      <name val="Figtree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6F5F2"/>
        <bgColor rgb="FFFFF8E1"/>
      </patternFill>
    </fill>
    <fill>
      <patternFill patternType="solid">
        <fgColor rgb="FFFFFFFF"/>
        <bgColor rgb="FFF6F5F2"/>
      </patternFill>
    </fill>
    <fill>
      <patternFill patternType="solid">
        <fgColor rgb="FF18171C"/>
        <bgColor rgb="FF2E2C35"/>
      </patternFill>
    </fill>
    <fill>
      <patternFill patternType="solid">
        <fgColor rgb="FFFFC21A"/>
        <bgColor rgb="FFE6A800"/>
      </patternFill>
    </fill>
    <fill>
      <patternFill patternType="solid">
        <fgColor rgb="FFFFF8E1"/>
        <bgColor rgb="FFF6F5F2"/>
      </patternFill>
    </fill>
    <fill>
      <patternFill patternType="solid">
        <fgColor rgb="FFECEAE6"/>
        <bgColor rgb="FFFDE7E4"/>
      </patternFill>
    </fill>
    <fill>
      <patternFill patternType="solid">
        <fgColor rgb="FF2E2C35"/>
        <bgColor rgb="FF33330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rgb="FFB5B3BB"/>
      </left>
      <right/>
      <top style="thin">
        <color rgb="FFB5B3BB"/>
      </top>
      <bottom style="thin">
        <color rgb="FFB5B3BB"/>
      </bottom>
      <diagonal/>
    </border>
    <border diagonalUp="false" diagonalDown="false">
      <left/>
      <right/>
      <top/>
      <bottom style="thick">
        <color rgb="FFFFC21A"/>
      </bottom>
      <diagonal/>
    </border>
    <border diagonalUp="false" diagonalDown="false">
      <left style="thin">
        <color rgb="FFFFC21A"/>
      </left>
      <right/>
      <top style="thin">
        <color rgb="FFFFC21A"/>
      </top>
      <bottom style="thin">
        <color rgb="FFFFC21A"/>
      </bottom>
      <diagonal/>
    </border>
    <border diagonalUp="false" diagonalDown="false">
      <left style="thin">
        <color rgb="FFD9D7DC"/>
      </left>
      <right style="thin">
        <color rgb="FFD9D7DC"/>
      </right>
      <top style="thin">
        <color rgb="FFD9D7DC"/>
      </top>
      <bottom/>
      <diagonal/>
    </border>
    <border diagonalUp="false" diagonalDown="false">
      <left style="thin">
        <color rgb="FFD9D7DC"/>
      </left>
      <right style="thin">
        <color rgb="FFD9D7DC"/>
      </right>
      <top/>
      <bottom/>
      <diagonal/>
    </border>
    <border diagonalUp="false" diagonalDown="false">
      <left style="thin">
        <color rgb="FFD9D7DC"/>
      </left>
      <right style="thin">
        <color rgb="FFD9D7DC"/>
      </right>
      <top/>
      <bottom style="thin">
        <color rgb="FFD9D7DC"/>
      </bottom>
      <diagonal/>
    </border>
    <border diagonalUp="false" diagonalDown="false">
      <left style="thin">
        <color rgb="FFB5B3BB"/>
      </left>
      <right style="thin">
        <color rgb="FFB5B3BB"/>
      </right>
      <top style="thin">
        <color rgb="FFB5B3BB"/>
      </top>
      <bottom style="thin">
        <color rgb="FFB5B3BB"/>
      </bottom>
      <diagonal/>
    </border>
    <border diagonalUp="false" diagonalDown="false">
      <left style="thin">
        <color rgb="FFE6A800"/>
      </left>
      <right style="thin">
        <color rgb="FFE6A800"/>
      </right>
      <top style="thin">
        <color rgb="FFE6A800"/>
      </top>
      <bottom style="thin">
        <color rgb="FFE6A800"/>
      </bottom>
      <diagonal/>
    </border>
    <border diagonalUp="false" diagonalDown="false">
      <left style="thin">
        <color rgb="FFD9D7DC"/>
      </left>
      <right style="thin">
        <color rgb="FFD9D7DC"/>
      </right>
      <top style="thin">
        <color rgb="FFD9D7DC"/>
      </top>
      <bottom style="thin">
        <color rgb="FFD9D7DC"/>
      </bottom>
      <diagonal/>
    </border>
    <border diagonalUp="false" diagonalDown="false">
      <left style="thin">
        <color rgb="FFD9D7DC"/>
      </left>
      <right style="thin">
        <color rgb="FFD9D7DC"/>
      </right>
      <top style="medium">
        <color rgb="FFB5B3BB"/>
      </top>
      <bottom style="thin">
        <color rgb="FFD9D7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3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9" fillId="3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9" fillId="3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9" fillId="3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9" fillId="3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6" fillId="3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6" fillId="3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6" fillId="3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9" fillId="3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9" fillId="3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5" fontId="9" fillId="3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6" fontId="6" fillId="3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7" fontId="6" fillId="3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8" fontId="6" fillId="3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6" fillId="6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1" fontId="16" fillId="6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16" fillId="6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1" fontId="15" fillId="3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3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16" fillId="6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2" fontId="16" fillId="3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6" fillId="3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6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16" fillId="7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16" fillId="3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5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6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9" fillId="3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6" fillId="3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15" fillId="3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7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2" fontId="15" fillId="3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16" fillId="3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19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6" fillId="7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7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color rgb="FFB22514"/>
      </font>
    </dxf>
    <dxf>
      <font>
        <color rgb="FF0E7A40"/>
      </font>
    </dxf>
    <dxf>
      <font>
        <b val="1"/>
        <color rgb="FFB22514"/>
      </font>
      <fill>
        <patternFill>
          <bgColor rgb="FFFDE7E4"/>
        </patternFill>
      </fill>
      <border diagonalUp="false" diagonalDown="false">
        <left/>
        <right/>
        <top style="thin">
          <color rgb="FFF0412F"/>
        </top>
        <bottom style="thin">
          <color rgb="FFF0412F"/>
        </bottom>
        <diagonal/>
      </border>
    </dxf>
    <dxf>
      <font>
        <b val="1"/>
        <color rgb="FF0E7A40"/>
      </font>
      <fill>
        <patternFill>
          <bgColor rgb="FFE3F7EC"/>
        </patternFill>
      </fill>
      <border diagonalUp="false" diagonalDown="false">
        <left/>
        <right/>
        <top style="thin">
          <color rgb="FF1FBF6A"/>
        </top>
        <bottom style="thin">
          <color rgb="FF1FBF6A"/>
        </bottom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E7A40"/>
      <rgbColor rgb="FF000080"/>
      <rgbColor rgb="FF808000"/>
      <rgbColor rgb="FF800080"/>
      <rgbColor rgb="FF008080"/>
      <rgbColor rgb="FFB5B3BB"/>
      <rgbColor rgb="FF878787"/>
      <rgbColor rgb="FF9999FF"/>
      <rgbColor rgb="FFA34E00"/>
      <rgbColor rgb="FFFFF8E1"/>
      <rgbColor rgb="FFE3F7EC"/>
      <rgbColor rgb="FF660066"/>
      <rgbColor rgb="FFFF8080"/>
      <rgbColor rgb="FF0066CC"/>
      <rgbColor rgb="FFD9D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6F5F2"/>
      <rgbColor rgb="FFECEAE6"/>
      <rgbColor rgb="FFFDE7E4"/>
      <rgbColor rgb="FF99CCFF"/>
      <rgbColor rgb="FFFF99CC"/>
      <rgbColor rgb="FFCC99FF"/>
      <rgbColor rgb="FFFFCC99"/>
      <rgbColor rgb="FF3366FF"/>
      <rgbColor rgb="FF33CCCC"/>
      <rgbColor rgb="FF99CC00"/>
      <rgbColor rgb="FFFFC21A"/>
      <rgbColor rgb="FFE6A800"/>
      <rgbColor rgb="FFF0412F"/>
      <rgbColor rgb="FF5E5C66"/>
      <rgbColor rgb="FF8A8893"/>
      <rgbColor rgb="FF003366"/>
      <rgbColor rgb="FF1FBF6A"/>
      <rgbColor rgb="FF18171C"/>
      <rgbColor rgb="FF333300"/>
      <rgbColor rgb="FFB22514"/>
      <rgbColor rgb="FF993366"/>
      <rgbColor rgb="FF333399"/>
      <rgbColor rgb="FF2E2C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18171c"/>
                </a:solidFill>
                <a:latin typeface="Outfit"/>
              </a:defRPr>
            </a:pPr>
            <a:r>
              <a:rPr b="1" sz="1200" spc="-1" strike="noStrike">
                <a:solidFill>
                  <a:srgbClr val="18171c"/>
                </a:solidFill>
                <a:latin typeface="Outfit"/>
              </a:rPr>
              <a:t>Clientes ativos: plano ×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"Plano"</c:f>
              <c:strCache>
                <c:ptCount val="1"/>
                <c:pt idx="0">
                  <c:v>Plano</c:v>
                </c:pt>
              </c:strCache>
            </c:strRef>
          </c:tx>
          <c:spPr>
            <a:solidFill>
              <a:srgbClr val="8a8893"/>
            </a:solidFill>
            <a:ln w="28080">
              <a:solidFill>
                <a:srgbClr val="8a8893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Projeção!$C$6:$C$29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Projeção!$F$6:$F$29</c:f>
              <c:numCache>
                <c:formatCode>#,##0.0;\-#,##0.0;\-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"Real"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e6a800"/>
            </a:solidFill>
            <a:ln w="32040">
              <a:solidFill>
                <a:srgbClr val="e6a800"/>
              </a:solidFill>
              <a:round/>
            </a:ln>
          </c:spPr>
          <c:marker>
            <c:symbol val="circle"/>
            <c:size val="6"/>
            <c:spPr>
              <a:solidFill>
                <a:srgbClr val="e6a8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Projeção!$C$6:$C$29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'Meu Mês'!$D$6:$D$29</c:f>
              <c:numCache>
                <c:formatCode>General</c:formatCode>
                <c:ptCount val="24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5214237"/>
        <c:axId val="8938684"/>
      </c:lineChart>
      <c:catAx>
        <c:axId val="95214237"/>
        <c:scaling>
          <c:orientation val="minMax"/>
        </c:scaling>
        <c:delete val="0"/>
        <c:axPos val="b"/>
        <c:numFmt formatCode="mmm/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38684"/>
        <c:crosses val="autoZero"/>
        <c:auto val="1"/>
        <c:lblAlgn val="ctr"/>
        <c:lblOffset val="100"/>
        <c:noMultiLvlLbl val="0"/>
      </c:catAx>
      <c:valAx>
        <c:axId val="8938684"/>
        <c:scaling>
          <c:orientation val="minMax"/>
        </c:scaling>
        <c:delete val="0"/>
        <c:axPos val="l"/>
        <c:majorGridlines>
          <c:spPr>
            <a:ln w="9360">
              <a:solidFill>
                <a:srgbClr val="d9d7dc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21423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7dc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18171c"/>
                </a:solidFill>
                <a:latin typeface="Outfit"/>
              </a:defRPr>
            </a:pPr>
            <a:r>
              <a:rPr b="1" sz="1200" spc="-1" strike="noStrike">
                <a:solidFill>
                  <a:srgbClr val="18171c"/>
                </a:solidFill>
                <a:latin typeface="Outfit"/>
              </a:rPr>
              <a:t>Caixa acumulado (plano)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Projeção!K5</c:f>
              <c:strCache>
                <c:ptCount val="1"/>
                <c:pt idx="0">
                  <c:v>CAIXA ACUMULADO</c:v>
                </c:pt>
              </c:strCache>
            </c:strRef>
          </c:tx>
          <c:spPr>
            <a:solidFill>
              <a:srgbClr val="e6a800"/>
            </a:solidFill>
            <a:ln w="28080">
              <a:solidFill>
                <a:srgbClr val="e6a8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Projeção!$C$6:$C$29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Projeção!$K$6:$K$29</c:f>
              <c:numCache>
                <c:formatCode>"R$ "#,##0.00;"-R$ "#,##0.00;\-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1557135"/>
        <c:axId val="91849236"/>
      </c:lineChart>
      <c:catAx>
        <c:axId val="21557135"/>
        <c:scaling>
          <c:orientation val="minMax"/>
        </c:scaling>
        <c:delete val="0"/>
        <c:axPos val="b"/>
        <c:numFmt formatCode="mmm/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849236"/>
        <c:crosses val="autoZero"/>
        <c:auto val="1"/>
        <c:lblAlgn val="ctr"/>
        <c:lblOffset val="100"/>
        <c:noMultiLvlLbl val="0"/>
      </c:catAx>
      <c:valAx>
        <c:axId val="91849236"/>
        <c:scaling>
          <c:orientation val="minMax"/>
        </c:scaling>
        <c:delete val="0"/>
        <c:axPos val="l"/>
        <c:majorGridlines>
          <c:spPr>
            <a:ln w="9360">
              <a:solidFill>
                <a:srgbClr val="d9d7dc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5571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7dc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0</xdr:rowOff>
    </xdr:from>
    <xdr:to>
      <xdr:col>7</xdr:col>
      <xdr:colOff>958680</xdr:colOff>
      <xdr:row>30</xdr:row>
      <xdr:rowOff>21600</xdr:rowOff>
    </xdr:to>
    <xdr:graphicFrame>
      <xdr:nvGraphicFramePr>
        <xdr:cNvPr id="0" name="Chart 1"/>
        <xdr:cNvGraphicFramePr/>
      </xdr:nvGraphicFramePr>
      <xdr:xfrm>
        <a:off x="266760" y="401940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15</xdr:row>
      <xdr:rowOff>0</xdr:rowOff>
    </xdr:from>
    <xdr:to>
      <xdr:col>16</xdr:col>
      <xdr:colOff>958680</xdr:colOff>
      <xdr:row>30</xdr:row>
      <xdr:rowOff>21600</xdr:rowOff>
    </xdr:to>
    <xdr:graphicFrame>
      <xdr:nvGraphicFramePr>
        <xdr:cNvPr id="1" name="Chart 2"/>
        <xdr:cNvGraphicFramePr/>
      </xdr:nvGraphicFramePr>
      <xdr:xfrm>
        <a:off x="7467480" y="401940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Saiae_Enxuta.xlsx" TargetMode="External"/><Relationship Id="rId2" Type="http://schemas.openxmlformats.org/officeDocument/2006/relationships/hyperlink" Target="Saiae_Enxuta.xlsx" TargetMode="External"/><Relationship Id="rId3" Type="http://schemas.openxmlformats.org/officeDocument/2006/relationships/hyperlink" Target="Saiae_Enxuta.xlsx" TargetMode="External"/><Relationship Id="rId4" Type="http://schemas.openxmlformats.org/officeDocument/2006/relationships/hyperlink" Target="Saiae_Enxuta.xlsx" TargetMode="External"/><Relationship Id="rId5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Saiae_Enxuta.xlsx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Saiae_Enxuta.xlsx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Saiae_Enxuta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8171C"/>
    <pageSetUpPr fitToPage="true"/>
  </sheetPr>
  <dimension ref="A1:AA6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3" min="2" style="1" width="12"/>
    <col collapsed="false" customWidth="true" hidden="false" outlineLevel="0" max="4" min="4" style="1" width="3"/>
    <col collapsed="false" customWidth="true" hidden="false" outlineLevel="0" max="6" min="5" style="1" width="12"/>
    <col collapsed="false" customWidth="true" hidden="false" outlineLevel="0" max="7" min="7" style="1" width="3"/>
    <col collapsed="false" customWidth="true" hidden="false" outlineLevel="0" max="9" min="8" style="1" width="12"/>
    <col collapsed="false" customWidth="true" hidden="false" outlineLevel="0" max="10" min="10" style="1" width="3"/>
    <col collapsed="false" customWidth="true" hidden="false" outlineLevel="0" max="12" min="11" style="1" width="12"/>
    <col collapsed="false" customWidth="true" hidden="false" outlineLevel="0" max="13" min="13" style="1" width="3"/>
    <col collapsed="false" customWidth="true" hidden="false" outlineLevel="0" max="15" min="14" style="1" width="12"/>
    <col collapsed="false" customWidth="true" hidden="false" outlineLevel="0" max="16" min="16" style="1" width="3"/>
    <col collapsed="false" customWidth="true" hidden="false" outlineLevel="0" max="18" min="17" style="1" width="12"/>
    <col collapsed="false" customWidth="true" hidden="true" outlineLevel="0" max="21" min="21" style="1" width="13"/>
  </cols>
  <sheetData>
    <row r="1" customFormat="false" ht="24" hidden="false" customHeight="true" outlineLevel="0" collapsed="false">
      <c r="A1" s="2"/>
      <c r="B1" s="3" t="s">
        <v>0</v>
      </c>
      <c r="C1" s="3"/>
      <c r="D1" s="2"/>
      <c r="E1" s="3" t="s">
        <v>1</v>
      </c>
      <c r="F1" s="3"/>
      <c r="G1" s="2"/>
      <c r="H1" s="3" t="s">
        <v>2</v>
      </c>
      <c r="I1" s="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42" hidden="false" customHeight="true" outlineLevel="0" collapsed="false">
      <c r="A2" s="2"/>
      <c r="B2" s="4" t="str">
        <f aca="false">"SAIAÊ  ·  PAINEL  ·  CENÁRIO "&amp;UPPER(Premissas!$C$8)</f>
        <v>SAIAÊ  ·  PAINEL  ·  CENÁRIO REALISTA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2"/>
      <c r="T2" s="2"/>
      <c r="U2" s="2"/>
      <c r="V2" s="2"/>
      <c r="W2" s="2"/>
      <c r="X2" s="2"/>
      <c r="Y2" s="2"/>
      <c r="Z2" s="2"/>
      <c r="AA2" s="2"/>
    </row>
    <row r="3" customFormat="false" ht="15" hidden="false" customHeight="true" outlineLevel="0" collapsed="false">
      <c r="A3" s="2"/>
      <c r="B3" s="5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6" t="s">
        <v>4</v>
      </c>
      <c r="R3" s="6"/>
      <c r="S3" s="2"/>
      <c r="T3" s="2"/>
      <c r="U3" s="2"/>
      <c r="V3" s="2"/>
      <c r="W3" s="2"/>
      <c r="X3" s="2"/>
      <c r="Y3" s="2"/>
      <c r="Z3" s="2"/>
      <c r="AA3" s="2"/>
    </row>
    <row r="4" customFormat="false" ht="1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customFormat="false" ht="15" hidden="false" customHeight="true" outlineLevel="0" collapsed="false">
      <c r="A5" s="2"/>
      <c r="B5" s="7" t="s">
        <v>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customFormat="false" ht="21.75" hidden="false" customHeight="true" outlineLevel="0" collapsed="false">
      <c r="A6" s="2"/>
      <c r="B6" s="8" t="s">
        <v>6</v>
      </c>
      <c r="C6" s="8"/>
      <c r="D6" s="2"/>
      <c r="E6" s="8" t="s">
        <v>7</v>
      </c>
      <c r="F6" s="8"/>
      <c r="G6" s="2"/>
      <c r="H6" s="8" t="s">
        <v>8</v>
      </c>
      <c r="I6" s="8"/>
      <c r="J6" s="2"/>
      <c r="K6" s="8" t="s">
        <v>9</v>
      </c>
      <c r="L6" s="8"/>
      <c r="M6" s="2"/>
      <c r="N6" s="8" t="s">
        <v>10</v>
      </c>
      <c r="O6" s="8"/>
      <c r="P6" s="2"/>
      <c r="Q6" s="8" t="s">
        <v>11</v>
      </c>
      <c r="R6" s="8"/>
      <c r="S6" s="2"/>
      <c r="T6" s="2"/>
      <c r="U6" s="2"/>
      <c r="V6" s="2"/>
      <c r="W6" s="2"/>
      <c r="X6" s="2"/>
      <c r="Y6" s="2"/>
      <c r="Z6" s="2"/>
      <c r="AA6" s="2"/>
    </row>
    <row r="7" customFormat="false" ht="31.5" hidden="false" customHeight="true" outlineLevel="0" collapsed="false">
      <c r="A7" s="2"/>
      <c r="B7" s="9" t="n">
        <f aca="false">IFERROR(ROUNDUP(Premissas!$C$43/Premissas!$C$41,0),0)</f>
        <v>0</v>
      </c>
      <c r="C7" s="9"/>
      <c r="D7" s="2"/>
      <c r="E7" s="10" t="n">
        <f aca="false">MAX(0,-MIN(Projeção!$K$6:$K$29))</f>
        <v>-0</v>
      </c>
      <c r="F7" s="10"/>
      <c r="G7" s="2"/>
      <c r="H7" s="11" t="str">
        <f aca="false">IF(COUNT(Projeção!$L$6:$L$29)=0,"Não atinge",INDEX(Projeção!$C$6:$C$29,MIN(Projeção!$L$6:$L$29)))</f>
        <v>Não atinge</v>
      </c>
      <c r="I7" s="11"/>
      <c r="J7" s="2"/>
      <c r="K7" s="12" t="n">
        <f aca="false">IFERROR((Premissas!$C$41/Premissas!$F$19)/(Premissas!$C$25*24/Projeção!$D$30),0)</f>
        <v>0</v>
      </c>
      <c r="L7" s="12"/>
      <c r="M7" s="2"/>
      <c r="N7" s="13" t="n">
        <f aca="false">Projeção!$F$17</f>
        <v>0</v>
      </c>
      <c r="O7" s="13"/>
      <c r="P7" s="2"/>
      <c r="Q7" s="10" t="n">
        <f aca="false">Projeção!$G$17</f>
        <v>0</v>
      </c>
      <c r="R7" s="10"/>
      <c r="S7" s="2"/>
      <c r="T7" s="2"/>
      <c r="U7" s="2"/>
      <c r="V7" s="2"/>
      <c r="W7" s="2"/>
      <c r="X7" s="2"/>
      <c r="Y7" s="2"/>
      <c r="Z7" s="2"/>
      <c r="AA7" s="2"/>
    </row>
    <row r="8" customFormat="false" ht="19.5" hidden="false" customHeight="true" outlineLevel="0" collapsed="false">
      <c r="A8" s="2"/>
      <c r="B8" s="14" t="s">
        <v>12</v>
      </c>
      <c r="C8" s="14"/>
      <c r="D8" s="2"/>
      <c r="E8" s="14" t="s">
        <v>13</v>
      </c>
      <c r="F8" s="14"/>
      <c r="G8" s="2"/>
      <c r="H8" s="14" t="s">
        <v>14</v>
      </c>
      <c r="I8" s="14"/>
      <c r="J8" s="2"/>
      <c r="K8" s="15" t="n">
        <f aca="false">IFERROR(Premissas!$C$41/Premissas!$F$19,0)</f>
        <v>0</v>
      </c>
      <c r="L8" s="15"/>
      <c r="M8" s="2"/>
      <c r="N8" s="16" t="n">
        <f aca="false">Projeção!$F$29</f>
        <v>0</v>
      </c>
      <c r="O8" s="16"/>
      <c r="P8" s="2"/>
      <c r="Q8" s="17" t="n">
        <f aca="false">Projeção!$G$29</f>
        <v>0</v>
      </c>
      <c r="R8" s="17"/>
      <c r="S8" s="2"/>
      <c r="T8" s="2"/>
      <c r="U8" s="2"/>
      <c r="V8" s="2"/>
      <c r="W8" s="2"/>
      <c r="X8" s="2"/>
      <c r="Y8" s="2"/>
      <c r="Z8" s="2"/>
      <c r="AA8" s="2"/>
    </row>
    <row r="9" customFormat="false" ht="15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customFormat="false" ht="15" hidden="false" customHeight="true" outlineLevel="0" collapsed="false">
      <c r="A10" s="2"/>
      <c r="B10" s="7" t="s">
        <v>15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customFormat="false" ht="21.75" hidden="false" customHeight="true" outlineLevel="0" collapsed="false">
      <c r="A11" s="2"/>
      <c r="B11" s="8" t="s">
        <v>16</v>
      </c>
      <c r="C11" s="8"/>
      <c r="D11" s="2"/>
      <c r="E11" s="8" t="s">
        <v>17</v>
      </c>
      <c r="F11" s="8"/>
      <c r="G11" s="2"/>
      <c r="H11" s="8" t="s">
        <v>18</v>
      </c>
      <c r="I11" s="8"/>
      <c r="J11" s="2"/>
      <c r="K11" s="8" t="s">
        <v>19</v>
      </c>
      <c r="L11" s="8"/>
      <c r="M11" s="2"/>
      <c r="N11" s="8" t="s">
        <v>20</v>
      </c>
      <c r="O11" s="8"/>
      <c r="P11" s="2"/>
      <c r="Q11" s="8" t="s">
        <v>21</v>
      </c>
      <c r="R11" s="8"/>
      <c r="S11" s="2"/>
      <c r="T11" s="2"/>
      <c r="U11" s="2"/>
      <c r="V11" s="2"/>
      <c r="W11" s="2"/>
      <c r="X11" s="2"/>
      <c r="Y11" s="2"/>
      <c r="Z11" s="2"/>
      <c r="AA11" s="2"/>
    </row>
    <row r="12" customFormat="false" ht="31.5" hidden="false" customHeight="true" outlineLevel="0" collapsed="false">
      <c r="A12" s="2"/>
      <c r="B12" s="18" t="n">
        <f aca="false">COUNT('Meu Mês'!$D$6:$D$29)</f>
        <v>0</v>
      </c>
      <c r="C12" s="18"/>
      <c r="D12" s="2"/>
      <c r="E12" s="19" t="str">
        <f aca="false">IF(COUNT('Meu Mês'!$D$6:$D$29)=0,"—",IFERROR(INDEX('Meu Mês'!$D$6:$D$29,COUNT('Meu Mês'!$D$6:$D$29))/INDEX('Meu Mês'!$J$6:$J$29,COUNT('Meu Mês'!$D$6:$D$29))-1,"—"))</f>
        <v>—</v>
      </c>
      <c r="F12" s="19"/>
      <c r="G12" s="2"/>
      <c r="H12" s="20" t="str">
        <f aca="false">IFERROR(AVERAGE('Meu Mês'!$L$6:$L$29),"—")</f>
        <v>—</v>
      </c>
      <c r="I12" s="20"/>
      <c r="J12" s="2"/>
      <c r="K12" s="10" t="str">
        <f aca="false">IFERROR(SUM('Meu Mês'!$I$6:$I$29)/SUM('Meu Mês'!$E$6:$E$29),"—")</f>
        <v>—</v>
      </c>
      <c r="L12" s="10"/>
      <c r="M12" s="2"/>
      <c r="N12" s="10" t="n">
        <f aca="false">SUM('Meu Mês'!$N$6:$N$29)</f>
        <v>0</v>
      </c>
      <c r="O12" s="10"/>
      <c r="P12" s="2"/>
      <c r="Q12" s="10" t="n">
        <f aca="false">SUMPRODUCT((Projeção!$B$6:$B$29&lt;=COUNT('Meu Mês'!$D$6:$D$29))*Projeção!$J$6:$J$29)</f>
        <v>0</v>
      </c>
      <c r="R12" s="10"/>
      <c r="S12" s="2"/>
      <c r="T12" s="2"/>
      <c r="U12" s="2"/>
      <c r="V12" s="2"/>
      <c r="W12" s="2"/>
      <c r="X12" s="2"/>
      <c r="Y12" s="2"/>
      <c r="Z12" s="2"/>
      <c r="AA12" s="2"/>
    </row>
    <row r="13" customFormat="false" ht="19.5" hidden="false" customHeight="true" outlineLevel="0" collapsed="false">
      <c r="A13" s="2"/>
      <c r="B13" s="14" t="s">
        <v>22</v>
      </c>
      <c r="C13" s="14"/>
      <c r="D13" s="2"/>
      <c r="E13" s="21" t="n">
        <f aca="false">IF(COUNT('Meu Mês'!$D$6:$D$29)=0,0,INDEX('Meu Mês'!$D$6:$D$29,COUNT('Meu Mês'!$D$6:$D$29)))</f>
        <v>0</v>
      </c>
      <c r="F13" s="21"/>
      <c r="G13" s="2"/>
      <c r="H13" s="22" t="n">
        <f aca="false">Premissas!$F$19</f>
        <v>0</v>
      </c>
      <c r="I13" s="22"/>
      <c r="J13" s="2"/>
      <c r="K13" s="23" t="n">
        <f aca="false">IFERROR(Premissas!$C$25*24/Projeção!$D$30,0)</f>
        <v>0</v>
      </c>
      <c r="L13" s="23"/>
      <c r="M13" s="2"/>
      <c r="N13" s="14" t="s">
        <v>23</v>
      </c>
      <c r="O13" s="14"/>
      <c r="P13" s="2"/>
      <c r="Q13" s="14" t="s">
        <v>24</v>
      </c>
      <c r="R13" s="14"/>
      <c r="S13" s="2"/>
      <c r="T13" s="2"/>
      <c r="U13" s="2"/>
      <c r="V13" s="2"/>
      <c r="W13" s="2"/>
      <c r="X13" s="2"/>
      <c r="Y13" s="2"/>
      <c r="Z13" s="2"/>
      <c r="AA13" s="2"/>
    </row>
    <row r="14" customFormat="false" ht="15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customFormat="false" ht="15" hidden="false" customHeight="true" outlineLevel="0" collapsed="false">
      <c r="A15" s="2"/>
      <c r="B15" s="7" t="s">
        <v>25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customFormat="false" ht="1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customFormat="false" ht="1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customFormat="false" ht="1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customFormat="false" ht="1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customFormat="false" ht="1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customFormat="false" ht="1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customFormat="false" ht="1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customFormat="false" ht="1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customFormat="false" ht="1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customFormat="false" ht="1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customFormat="false" ht="1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customFormat="false" ht="1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customFormat="false" ht="1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customFormat="false" ht="1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customFormat="false" ht="1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customFormat="false" ht="1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customFormat="false" ht="1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customFormat="false" ht="15" hidden="false" customHeight="true" outlineLevel="0" collapsed="false">
      <c r="A33" s="2"/>
      <c r="B33" s="7" t="s">
        <v>26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customFormat="false" ht="25.5" hidden="false" customHeight="true" outlineLevel="0" collapsed="false">
      <c r="A34" s="2"/>
      <c r="B34" s="24" t="str">
        <f aca="false">IF(U34="","·   Preencha as Premissas para ver este alerta",IF(U34,"✖   Você vai precisar de capital: o caixa fica negativo no começo (veja o card CAPITAL NECESSÁRIO)","✔   O caixa nunca fica negativo no plano"))</f>
        <v>·   Preencha as Premissas para ver este alerta</v>
      </c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"/>
      <c r="T34" s="2"/>
      <c r="U34" s="25" t="str">
        <f aca="false">IF(COUNT(Premissas!$C$17:$E$21)=0,"",E7&gt;0)</f>
        <v/>
      </c>
      <c r="V34" s="2"/>
      <c r="W34" s="2"/>
      <c r="X34" s="2"/>
      <c r="Y34" s="2"/>
      <c r="Z34" s="2"/>
      <c r="AA34" s="2"/>
    </row>
    <row r="35" customFormat="false" ht="25.5" hidden="false" customHeight="true" outlineLevel="0" collapsed="false">
      <c r="A35" s="2"/>
      <c r="B35" s="24" t="str">
        <f aca="false">IF(U35="","·   Preencha as Premissas para ver este alerta",IF(U35,"✖   LTV/CAC abaixo de 3x — cada cliente devolve pouco do que custa para conquistar","✔   LTV/CAC saudável: cada cliente devolve 3x ou mais o que custou"))</f>
        <v>·   Preencha as Premissas para ver este alerta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"/>
      <c r="T35" s="2"/>
      <c r="U35" s="25" t="str">
        <f aca="false">IF(COUNT(Premissas!$C$17:$E$21)=0,"",K7&lt;3)</f>
        <v/>
      </c>
      <c r="V35" s="2"/>
      <c r="W35" s="2"/>
      <c r="X35" s="2"/>
      <c r="Y35" s="2"/>
      <c r="Z35" s="2"/>
      <c r="AA35" s="2"/>
    </row>
    <row r="36" customFormat="false" ht="25.5" hidden="false" customHeight="true" outlineLevel="0" collapsed="false">
      <c r="A36" s="2"/>
      <c r="B36" s="24" t="str">
        <f aca="false">IF(U36="","·   Preencha as Premissas para ver este alerta",IF(U36,"✖   Você está mais de 10% abaixo do plano em clientes — reveja anúncios ou churn","✔   Clientes dentro do plano (ou ainda sem lançamentos)"))</f>
        <v>·   Preencha as Premissas para ver este alerta</v>
      </c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"/>
      <c r="T36" s="2"/>
      <c r="U36" s="25" t="str">
        <f aca="false">IF(COUNT(Premissas!$C$17:$E$21)=0,"",AND(ISNUMBER(E12),E12&lt;-0.1))</f>
        <v/>
      </c>
      <c r="V36" s="2"/>
      <c r="W36" s="2"/>
      <c r="X36" s="2"/>
      <c r="Y36" s="2"/>
      <c r="Z36" s="2"/>
      <c r="AA36" s="2"/>
    </row>
    <row r="37" customFormat="false" ht="1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customFormat="false" ht="15" hidden="false" customHeight="true" outlineLevel="0" collapsed="false">
      <c r="A38" s="2"/>
      <c r="B38" s="5" t="s">
        <v>27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customFormat="false" ht="1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customFormat="false" ht="1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customFormat="false" ht="1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customFormat="false" ht="1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customFormat="false" ht="1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customFormat="false" ht="1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customFormat="false" ht="1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customFormat="false" ht="1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customFormat="false" ht="1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customFormat="false" ht="1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customFormat="false" ht="1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customFormat="false" ht="1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Format="false" ht="1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Format="false" ht="1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Format="false" ht="1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Format="false" ht="1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Format="false" ht="1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Format="false" ht="1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Format="false" ht="1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Format="false" ht="1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Format="false" ht="1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Format="false" ht="1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Format="false" ht="1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Format="false" ht="1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Format="false" ht="1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</sheetData>
  <mergeCells count="44">
    <mergeCell ref="B1:C1"/>
    <mergeCell ref="E1:F1"/>
    <mergeCell ref="H1:I1"/>
    <mergeCell ref="B2:R2"/>
    <mergeCell ref="Q3:R3"/>
    <mergeCell ref="B6:C6"/>
    <mergeCell ref="E6:F6"/>
    <mergeCell ref="H6:I6"/>
    <mergeCell ref="K6:L6"/>
    <mergeCell ref="N6:O6"/>
    <mergeCell ref="Q6:R6"/>
    <mergeCell ref="B7:C7"/>
    <mergeCell ref="E7:F7"/>
    <mergeCell ref="H7:I7"/>
    <mergeCell ref="K7:L7"/>
    <mergeCell ref="N7:O7"/>
    <mergeCell ref="Q7:R7"/>
    <mergeCell ref="B8:C8"/>
    <mergeCell ref="E8:F8"/>
    <mergeCell ref="H8:I8"/>
    <mergeCell ref="K8:L8"/>
    <mergeCell ref="N8:O8"/>
    <mergeCell ref="Q8:R8"/>
    <mergeCell ref="B11:C11"/>
    <mergeCell ref="E11:F11"/>
    <mergeCell ref="H11:I11"/>
    <mergeCell ref="K11:L11"/>
    <mergeCell ref="N11:O11"/>
    <mergeCell ref="Q11:R11"/>
    <mergeCell ref="B12:C12"/>
    <mergeCell ref="E12:F12"/>
    <mergeCell ref="H12:I12"/>
    <mergeCell ref="K12:L12"/>
    <mergeCell ref="N12:O12"/>
    <mergeCell ref="Q12:R12"/>
    <mergeCell ref="B13:C13"/>
    <mergeCell ref="E13:F13"/>
    <mergeCell ref="H13:I13"/>
    <mergeCell ref="K13:L13"/>
    <mergeCell ref="N13:O13"/>
    <mergeCell ref="Q13:R13"/>
    <mergeCell ref="B34:R34"/>
    <mergeCell ref="B35:R35"/>
    <mergeCell ref="B36:R36"/>
  </mergeCells>
  <conditionalFormatting sqref="E7">
    <cfRule type="expression" priority="2" aboveAverage="0" equalAverage="0" bottom="0" percent="0" rank="0" text="" dxfId="0">
      <formula>E7&gt;0</formula>
    </cfRule>
    <cfRule type="expression" priority="3" aboveAverage="0" equalAverage="0" bottom="0" percent="0" rank="0" text="" dxfId="1">
      <formula>E7=0</formula>
    </cfRule>
  </conditionalFormatting>
  <conditionalFormatting sqref="K7">
    <cfRule type="expression" priority="4" aboveAverage="0" equalAverage="0" bottom="0" percent="0" rank="0" text="" dxfId="1">
      <formula>K7&gt;=3</formula>
    </cfRule>
    <cfRule type="expression" priority="5" aboveAverage="0" equalAverage="0" bottom="0" percent="0" rank="0" text="" dxfId="0">
      <formula>K7&lt;1</formula>
    </cfRule>
  </conditionalFormatting>
  <conditionalFormatting sqref="N12">
    <cfRule type="expression" priority="6" aboveAverage="0" equalAverage="0" bottom="0" percent="0" rank="0" text="" dxfId="0">
      <formula>AND(ISNUMBER(N12),N12&lt;0)</formula>
    </cfRule>
  </conditionalFormatting>
  <conditionalFormatting sqref="Q12">
    <cfRule type="expression" priority="7" aboveAverage="0" equalAverage="0" bottom="0" percent="0" rank="0" text="" dxfId="0">
      <formula>AND(ISNUMBER(Q12),Q12&lt;0)</formula>
    </cfRule>
  </conditionalFormatting>
  <conditionalFormatting sqref="E12">
    <cfRule type="expression" priority="8" aboveAverage="0" equalAverage="0" bottom="0" percent="0" rank="0" text="" dxfId="0">
      <formula>AND(ISNUMBER(E12),E12&lt;-0.1)</formula>
    </cfRule>
    <cfRule type="expression" priority="9" aboveAverage="0" equalAverage="0" bottom="0" percent="0" rank="0" text="" dxfId="1">
      <formula>AND(ISNUMBER(E12),E12&gt;=0)</formula>
    </cfRule>
  </conditionalFormatting>
  <conditionalFormatting sqref="B34:R34">
    <cfRule type="expression" priority="10" aboveAverage="0" equalAverage="0" bottom="0" percent="0" rank="0" text="" dxfId="2">
      <formula>$U$34=1</formula>
    </cfRule>
    <cfRule type="expression" priority="11" aboveAverage="0" equalAverage="0" bottom="0" percent="0" rank="0" text="" dxfId="3">
      <formula>$U$34=0</formula>
    </cfRule>
  </conditionalFormatting>
  <conditionalFormatting sqref="B35:R35">
    <cfRule type="expression" priority="12" aboveAverage="0" equalAverage="0" bottom="0" percent="0" rank="0" text="" dxfId="2">
      <formula>$U$35=1</formula>
    </cfRule>
    <cfRule type="expression" priority="13" aboveAverage="0" equalAverage="0" bottom="0" percent="0" rank="0" text="" dxfId="3">
      <formula>$U$35=0</formula>
    </cfRule>
  </conditionalFormatting>
  <conditionalFormatting sqref="B36:R36">
    <cfRule type="expression" priority="14" aboveAverage="0" equalAverage="0" bottom="0" percent="0" rank="0" text="" dxfId="2">
      <formula>$U$36=1</formula>
    </cfRule>
    <cfRule type="expression" priority="15" aboveAverage="0" equalAverage="0" bottom="0" percent="0" rank="0" text="" dxfId="3">
      <formula>$U$36=0</formula>
    </cfRule>
  </conditionalFormatting>
  <hyperlinks>
    <hyperlink ref="B1" r:id="rId1" location="'Premissas'!A1" display="⚙  Premissas"/>
    <hyperlink ref="E1" r:id="rId2" location="'Meu%20Mês'!A1" display="✎  Meu Mês"/>
    <hyperlink ref="H1" r:id="rId3" location="'Projeção'!A1" display="↗  Projeção"/>
    <hyperlink ref="Q3" r:id="rId4" location="'Meu%20Mês'!D6" display="Lançar o mês 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21A"/>
    <pageSetUpPr fitToPage="true"/>
  </sheetPr>
  <dimension ref="A1:M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6" min="3" style="1" width="15"/>
    <col collapsed="false" customWidth="true" hidden="false" outlineLevel="0" max="7" min="7" style="1" width="56"/>
  </cols>
  <sheetData>
    <row r="1" customFormat="false" ht="24" hidden="false" customHeight="true" outlineLevel="0" collapsed="false">
      <c r="A1" s="2"/>
      <c r="B1" s="26" t="s">
        <v>28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42" hidden="false" customHeight="true" outlineLevel="0" collapsed="false">
      <c r="A2" s="2"/>
      <c r="B2" s="27" t="s">
        <v>29</v>
      </c>
      <c r="C2" s="27"/>
      <c r="D2" s="27"/>
      <c r="E2" s="27"/>
      <c r="F2" s="27"/>
      <c r="G2" s="27"/>
      <c r="H2" s="2"/>
      <c r="I2" s="2"/>
      <c r="J2" s="2"/>
      <c r="K2" s="2"/>
      <c r="L2" s="2"/>
      <c r="M2" s="2"/>
    </row>
    <row r="3" customFormat="false" ht="15" hidden="false" customHeight="true" outlineLevel="0" collapsed="false">
      <c r="A3" s="2"/>
      <c r="B3" s="5" t="s">
        <v>30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customFormat="false" ht="15" hidden="false" customHeight="true" outlineLevel="0" collapsed="false">
      <c r="A5" s="2"/>
      <c r="B5" s="7" t="s">
        <v>31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customFormat="false" ht="15" hidden="false" customHeight="true" outlineLevel="0" collapsed="false">
      <c r="A6" s="2"/>
      <c r="B6" s="28" t="s">
        <v>32</v>
      </c>
      <c r="C6" s="29" t="n">
        <f aca="true">DATE(YEAR(TODAY()),MONTH(TODAY())+1,1)</f>
        <v>46296</v>
      </c>
      <c r="D6" s="5" t="s">
        <v>33</v>
      </c>
      <c r="E6" s="2"/>
      <c r="F6" s="2"/>
      <c r="G6" s="2"/>
      <c r="H6" s="2"/>
      <c r="I6" s="2"/>
      <c r="J6" s="2"/>
      <c r="K6" s="2"/>
      <c r="L6" s="2"/>
      <c r="M6" s="2"/>
    </row>
    <row r="7" customFormat="false" ht="15" hidden="false" customHeight="true" outlineLevel="0" collapsed="false">
      <c r="A7" s="2"/>
      <c r="B7" s="28" t="s">
        <v>34</v>
      </c>
      <c r="C7" s="30"/>
      <c r="D7" s="5" t="s">
        <v>35</v>
      </c>
      <c r="E7" s="2"/>
      <c r="F7" s="2"/>
      <c r="G7" s="2"/>
      <c r="H7" s="2"/>
      <c r="I7" s="2"/>
      <c r="J7" s="2"/>
      <c r="K7" s="2"/>
      <c r="L7" s="2"/>
      <c r="M7" s="2"/>
    </row>
    <row r="8" customFormat="false" ht="15" hidden="false" customHeight="true" outlineLevel="0" collapsed="false">
      <c r="A8" s="2"/>
      <c r="B8" s="31" t="s">
        <v>36</v>
      </c>
      <c r="C8" s="32" t="s">
        <v>37</v>
      </c>
      <c r="D8" s="5" t="s">
        <v>38</v>
      </c>
      <c r="E8" s="2"/>
      <c r="F8" s="2"/>
      <c r="G8" s="2"/>
      <c r="H8" s="2"/>
      <c r="I8" s="2"/>
      <c r="J8" s="2"/>
      <c r="K8" s="2"/>
      <c r="L8" s="2"/>
      <c r="M8" s="2"/>
    </row>
    <row r="9" customFormat="false" ht="15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customFormat="false" ht="15" hidden="false" customHeight="true" outlineLevel="0" collapsed="false">
      <c r="A10" s="2"/>
      <c r="B10" s="7" t="s">
        <v>39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customFormat="false" ht="25.5" hidden="false" customHeight="true" outlineLevel="0" collapsed="false">
      <c r="A11" s="2"/>
      <c r="B11" s="33" t="s">
        <v>40</v>
      </c>
      <c r="C11" s="33" t="s">
        <v>41</v>
      </c>
      <c r="D11" s="33" t="s">
        <v>42</v>
      </c>
      <c r="E11" s="33" t="s">
        <v>43</v>
      </c>
      <c r="F11" s="33" t="s">
        <v>44</v>
      </c>
      <c r="G11" s="2"/>
      <c r="H11" s="2"/>
      <c r="I11" s="2"/>
      <c r="J11" s="2"/>
      <c r="K11" s="2"/>
      <c r="L11" s="2"/>
      <c r="M11" s="2"/>
    </row>
    <row r="12" customFormat="false" ht="15" hidden="false" customHeight="true" outlineLevel="0" collapsed="false">
      <c r="A12" s="2"/>
      <c r="B12" s="34" t="s">
        <v>45</v>
      </c>
      <c r="C12" s="30"/>
      <c r="D12" s="35"/>
      <c r="E12" s="36" t="n">
        <f aca="false">C12*(1-D12)</f>
        <v>0</v>
      </c>
      <c r="F12" s="36" t="n">
        <f aca="false">ROUND(E12*12,2)</f>
        <v>0</v>
      </c>
      <c r="G12" s="2"/>
      <c r="H12" s="2"/>
      <c r="I12" s="2"/>
      <c r="J12" s="2"/>
      <c r="K12" s="2"/>
      <c r="L12" s="2"/>
      <c r="M12" s="2"/>
    </row>
    <row r="13" customFormat="false" ht="15" hidden="false" customHeight="true" outlineLevel="0" collapsed="false">
      <c r="A13" s="2"/>
      <c r="B13" s="34" t="s">
        <v>46</v>
      </c>
      <c r="C13" s="30"/>
      <c r="D13" s="35"/>
      <c r="E13" s="36" t="n">
        <f aca="false">C13*(1-D13)</f>
        <v>0</v>
      </c>
      <c r="F13" s="36" t="n">
        <f aca="false">ROUND(E13*12,2)</f>
        <v>0</v>
      </c>
      <c r="G13" s="2"/>
      <c r="H13" s="2"/>
      <c r="I13" s="2"/>
      <c r="J13" s="2"/>
      <c r="K13" s="2"/>
      <c r="L13" s="2"/>
      <c r="M13" s="2"/>
    </row>
    <row r="14" customFormat="false" ht="15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customFormat="false" ht="15" hidden="false" customHeight="true" outlineLevel="0" collapsed="false">
      <c r="A15" s="2"/>
      <c r="B15" s="7" t="s">
        <v>47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customFormat="false" ht="25.5" hidden="false" customHeight="true" outlineLevel="0" collapsed="false">
      <c r="A16" s="2"/>
      <c r="B16" s="33" t="s">
        <v>48</v>
      </c>
      <c r="C16" s="33" t="s">
        <v>49</v>
      </c>
      <c r="D16" s="33" t="s">
        <v>50</v>
      </c>
      <c r="E16" s="33" t="s">
        <v>51</v>
      </c>
      <c r="F16" s="33" t="s">
        <v>52</v>
      </c>
      <c r="G16" s="33" t="s">
        <v>53</v>
      </c>
      <c r="H16" s="2"/>
      <c r="I16" s="2"/>
      <c r="J16" s="2"/>
      <c r="K16" s="2"/>
      <c r="L16" s="2"/>
      <c r="M16" s="2"/>
    </row>
    <row r="17" customFormat="false" ht="15" hidden="false" customHeight="true" outlineLevel="0" collapsed="false">
      <c r="A17" s="2"/>
      <c r="B17" s="37" t="s">
        <v>54</v>
      </c>
      <c r="C17" s="38"/>
      <c r="D17" s="38"/>
      <c r="E17" s="38"/>
      <c r="F17" s="39" t="n">
        <f aca="false">INDEX(C17:E17,MATCH($C$8,$C$16:$E$16,0))</f>
        <v>0</v>
      </c>
      <c r="G17" s="5" t="s">
        <v>55</v>
      </c>
      <c r="H17" s="2"/>
      <c r="I17" s="2"/>
      <c r="J17" s="2"/>
      <c r="K17" s="2"/>
      <c r="L17" s="2"/>
      <c r="M17" s="2"/>
    </row>
    <row r="18" customFormat="false" ht="15" hidden="false" customHeight="true" outlineLevel="0" collapsed="false">
      <c r="A18" s="2"/>
      <c r="B18" s="37" t="s">
        <v>56</v>
      </c>
      <c r="C18" s="35"/>
      <c r="D18" s="35"/>
      <c r="E18" s="35"/>
      <c r="F18" s="40" t="n">
        <f aca="false">INDEX(C18:E18,MATCH($C$8,$C$16:$E$16,0))</f>
        <v>0</v>
      </c>
      <c r="G18" s="5" t="s">
        <v>57</v>
      </c>
      <c r="H18" s="2"/>
      <c r="I18" s="2"/>
      <c r="J18" s="2"/>
      <c r="K18" s="2"/>
      <c r="L18" s="2"/>
      <c r="M18" s="2"/>
    </row>
    <row r="19" customFormat="false" ht="15" hidden="false" customHeight="true" outlineLevel="0" collapsed="false">
      <c r="A19" s="2"/>
      <c r="B19" s="37" t="s">
        <v>58</v>
      </c>
      <c r="C19" s="35"/>
      <c r="D19" s="35"/>
      <c r="E19" s="35"/>
      <c r="F19" s="40" t="n">
        <f aca="false">INDEX(C19:E19,MATCH($C$8,$C$16:$E$16,0))</f>
        <v>0</v>
      </c>
      <c r="G19" s="5" t="s">
        <v>59</v>
      </c>
      <c r="H19" s="2"/>
      <c r="I19" s="2"/>
      <c r="J19" s="2"/>
      <c r="K19" s="2"/>
      <c r="L19" s="2"/>
      <c r="M19" s="2"/>
    </row>
    <row r="20" customFormat="false" ht="15" hidden="false" customHeight="true" outlineLevel="0" collapsed="false">
      <c r="A20" s="2"/>
      <c r="B20" s="37" t="s">
        <v>60</v>
      </c>
      <c r="C20" s="35"/>
      <c r="D20" s="35"/>
      <c r="E20" s="35"/>
      <c r="F20" s="40" t="n">
        <f aca="false">INDEX(C20:E20,MATCH($C$8,$C$16:$E$16,0))</f>
        <v>0</v>
      </c>
      <c r="G20" s="5" t="s">
        <v>61</v>
      </c>
      <c r="H20" s="2"/>
      <c r="I20" s="2"/>
      <c r="J20" s="2"/>
      <c r="K20" s="2"/>
      <c r="L20" s="2"/>
      <c r="M20" s="2"/>
    </row>
    <row r="21" customFormat="false" ht="15" hidden="false" customHeight="true" outlineLevel="0" collapsed="false">
      <c r="A21" s="2"/>
      <c r="B21" s="37" t="s">
        <v>62</v>
      </c>
      <c r="C21" s="35"/>
      <c r="D21" s="35"/>
      <c r="E21" s="35"/>
      <c r="F21" s="40" t="n">
        <f aca="false">INDEX(C21:E21,MATCH($C$8,$C$16:$E$16,0))</f>
        <v>0</v>
      </c>
      <c r="G21" s="5" t="s">
        <v>63</v>
      </c>
      <c r="H21" s="2"/>
      <c r="I21" s="2"/>
      <c r="J21" s="2"/>
      <c r="K21" s="2"/>
      <c r="L21" s="2"/>
      <c r="M21" s="2"/>
    </row>
    <row r="22" customFormat="false" ht="1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customFormat="false" ht="15" hidden="false" customHeight="true" outlineLevel="0" collapsed="false">
      <c r="A23" s="2"/>
      <c r="B23" s="7" t="s">
        <v>64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customFormat="false" ht="15" hidden="false" customHeight="true" outlineLevel="0" collapsed="false">
      <c r="A24" s="2"/>
      <c r="B24" s="37" t="s">
        <v>65</v>
      </c>
      <c r="C24" s="35"/>
      <c r="D24" s="5" t="s">
        <v>66</v>
      </c>
      <c r="E24" s="2"/>
      <c r="F24" s="2"/>
      <c r="G24" s="2"/>
      <c r="H24" s="2"/>
      <c r="I24" s="2"/>
      <c r="J24" s="2"/>
      <c r="K24" s="2"/>
      <c r="L24" s="2"/>
      <c r="M24" s="2"/>
    </row>
    <row r="25" customFormat="false" ht="15" hidden="false" customHeight="true" outlineLevel="0" collapsed="false">
      <c r="A25" s="2"/>
      <c r="B25" s="37" t="s">
        <v>67</v>
      </c>
      <c r="C25" s="30"/>
      <c r="D25" s="5" t="s">
        <v>68</v>
      </c>
      <c r="E25" s="2"/>
      <c r="F25" s="2"/>
      <c r="G25" s="2"/>
      <c r="H25" s="2"/>
      <c r="I25" s="2"/>
      <c r="J25" s="2"/>
      <c r="K25" s="2"/>
      <c r="L25" s="2"/>
      <c r="M25" s="2"/>
    </row>
    <row r="26" customFormat="false" ht="1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customFormat="false" ht="15" hidden="false" customHeight="true" outlineLevel="0" collapsed="false">
      <c r="A27" s="2"/>
      <c r="B27" s="7" t="s">
        <v>69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customFormat="false" ht="24" hidden="false" customHeight="true" outlineLevel="0" collapsed="false">
      <c r="A28" s="2"/>
      <c r="B28" s="33" t="s">
        <v>70</v>
      </c>
      <c r="C28" s="33" t="s">
        <v>71</v>
      </c>
      <c r="D28" s="2"/>
      <c r="E28" s="2"/>
      <c r="F28" s="2"/>
      <c r="G28" s="2"/>
      <c r="H28" s="2"/>
      <c r="I28" s="2"/>
      <c r="J28" s="2"/>
      <c r="K28" s="2"/>
      <c r="L28" s="2"/>
      <c r="M28" s="2"/>
    </row>
    <row r="29" customFormat="false" ht="15" hidden="false" customHeight="true" outlineLevel="0" collapsed="false">
      <c r="A29" s="2"/>
      <c r="B29" s="41" t="s">
        <v>72</v>
      </c>
      <c r="C29" s="30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customFormat="false" ht="15" hidden="false" customHeight="true" outlineLevel="0" collapsed="false">
      <c r="A30" s="2"/>
      <c r="B30" s="41" t="s">
        <v>73</v>
      </c>
      <c r="C30" s="30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customFormat="false" ht="15" hidden="false" customHeight="true" outlineLevel="0" collapsed="false">
      <c r="A31" s="2"/>
      <c r="B31" s="41" t="s">
        <v>74</v>
      </c>
      <c r="C31" s="30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customFormat="false" ht="15" hidden="false" customHeight="true" outlineLevel="0" collapsed="false">
      <c r="A32" s="2"/>
      <c r="B32" s="41" t="s">
        <v>75</v>
      </c>
      <c r="C32" s="30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customFormat="false" ht="15" hidden="false" customHeight="true" outlineLevel="0" collapsed="false">
      <c r="A33" s="2"/>
      <c r="B33" s="41" t="s">
        <v>76</v>
      </c>
      <c r="C33" s="30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customFormat="false" ht="15" hidden="false" customHeight="true" outlineLevel="0" collapsed="false">
      <c r="A34" s="2"/>
      <c r="B34" s="41" t="s">
        <v>77</v>
      </c>
      <c r="C34" s="30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customFormat="false" ht="15" hidden="false" customHeight="true" outlineLevel="0" collapsed="false">
      <c r="A35" s="2"/>
      <c r="B35" s="41"/>
      <c r="C35" s="30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customFormat="false" ht="15" hidden="false" customHeight="true" outlineLevel="0" collapsed="false">
      <c r="A36" s="2"/>
      <c r="B36" s="41"/>
      <c r="C36" s="30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customFormat="false" ht="15" hidden="false" customHeight="true" outlineLevel="0" collapsed="false">
      <c r="A37" s="2"/>
      <c r="B37" s="42" t="s">
        <v>78</v>
      </c>
      <c r="C37" s="43" t="n">
        <f aca="false">SUM(C29:C36)</f>
        <v>0</v>
      </c>
      <c r="D37" s="2"/>
      <c r="E37" s="2"/>
      <c r="F37" s="2"/>
      <c r="G37" s="2"/>
      <c r="H37" s="2"/>
      <c r="I37" s="2"/>
      <c r="J37" s="2"/>
      <c r="K37" s="2"/>
      <c r="L37" s="2"/>
      <c r="M37" s="2"/>
    </row>
    <row r="38" customFormat="false" ht="1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customFormat="false" ht="15" hidden="false" customHeight="true" outlineLevel="0" collapsed="false">
      <c r="A39" s="2"/>
      <c r="B39" s="7" t="s">
        <v>79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customFormat="false" ht="15" hidden="false" customHeight="true" outlineLevel="0" collapsed="false">
      <c r="A40" s="2"/>
      <c r="B40" s="37" t="s">
        <v>80</v>
      </c>
      <c r="C40" s="44" t="n">
        <f aca="false">(1-Premissas!$F$20)*((1-Premissas!$F$21)*C12+Premissas!$F$21*F12/12)+Premissas!$F$20*((1-Premissas!$F$21)*C13+Premissas!$F$21*F13/12)</f>
        <v>0</v>
      </c>
      <c r="D40" s="5" t="s">
        <v>81</v>
      </c>
      <c r="E40" s="2"/>
      <c r="F40" s="2"/>
      <c r="G40" s="2"/>
      <c r="H40" s="2"/>
      <c r="I40" s="2"/>
      <c r="J40" s="2"/>
      <c r="K40" s="2"/>
      <c r="L40" s="2"/>
      <c r="M40" s="2"/>
    </row>
    <row r="41" customFormat="false" ht="15" hidden="false" customHeight="true" outlineLevel="0" collapsed="false">
      <c r="A41" s="2"/>
      <c r="B41" s="37" t="s">
        <v>82</v>
      </c>
      <c r="C41" s="44" t="n">
        <f aca="false">C40*(1-C24)</f>
        <v>0</v>
      </c>
      <c r="D41" s="5" t="s">
        <v>83</v>
      </c>
      <c r="E41" s="2"/>
      <c r="F41" s="2"/>
      <c r="G41" s="2"/>
      <c r="H41" s="2"/>
      <c r="I41" s="2"/>
      <c r="J41" s="2"/>
      <c r="K41" s="2"/>
      <c r="L41" s="2"/>
      <c r="M41" s="2"/>
    </row>
    <row r="42" customFormat="false" ht="15" hidden="false" customHeight="true" outlineLevel="0" collapsed="false">
      <c r="A42" s="2"/>
      <c r="B42" s="37" t="s">
        <v>84</v>
      </c>
      <c r="C42" s="44" t="n">
        <f aca="false">(1-Premissas!$F$20)*F12+Premissas!$F$20*F13</f>
        <v>0</v>
      </c>
      <c r="D42" s="5" t="s">
        <v>85</v>
      </c>
      <c r="E42" s="2"/>
      <c r="F42" s="2"/>
      <c r="G42" s="2"/>
      <c r="H42" s="2"/>
      <c r="I42" s="2"/>
      <c r="J42" s="2"/>
      <c r="K42" s="2"/>
      <c r="L42" s="2"/>
      <c r="M42" s="2"/>
    </row>
    <row r="43" customFormat="false" ht="15" hidden="false" customHeight="true" outlineLevel="0" collapsed="false">
      <c r="A43" s="2"/>
      <c r="B43" s="37" t="s">
        <v>86</v>
      </c>
      <c r="C43" s="44" t="n">
        <f aca="false">C37+C25</f>
        <v>0</v>
      </c>
      <c r="D43" s="5"/>
      <c r="E43" s="2"/>
      <c r="F43" s="2"/>
      <c r="G43" s="2"/>
      <c r="H43" s="2"/>
      <c r="I43" s="2"/>
      <c r="J43" s="2"/>
      <c r="K43" s="2"/>
      <c r="L43" s="2"/>
      <c r="M43" s="2"/>
    </row>
    <row r="44" customFormat="false" ht="1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customFormat="false" ht="1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customFormat="false" ht="1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customFormat="false" ht="1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customFormat="false" ht="1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customFormat="false" ht="1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customFormat="false" ht="1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customFormat="false" ht="1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customFormat="false" ht="1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customFormat="false" ht="1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customFormat="false" ht="1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customFormat="false" ht="1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customFormat="false" ht="1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customFormat="false" ht="1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customFormat="false" ht="1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customFormat="false" ht="1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customFormat="false" ht="1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customFormat="false" ht="1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customFormat="false" ht="1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customFormat="false" ht="1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customFormat="false" ht="1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customFormat="false" ht="1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customFormat="false" ht="1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customFormat="false" ht="1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customFormat="false" ht="1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</sheetData>
  <mergeCells count="1">
    <mergeCell ref="B2:G2"/>
  </mergeCells>
  <dataValidations count="11">
    <dataValidation allowBlank="false" errorStyle="stop" operator="between" prompt="Escolha o cenário usado na Projeção e no Painel." promptTitle="Cenário" showDropDown="false" showErrorMessage="false" showInputMessage="true" sqref="C8" type="list">
      <formula1>"Pessimista,Realista,Otimista"</formula1>
      <formula2>0</formula2>
    </dataValidation>
    <dataValidation allowBlank="true" errorStyle="stop" operator="between" prompt="Data do primeiro mês de vendas. Ex.: 01/10/2026." promptTitle="Início" showDropDown="false" showErrorMessage="false" showInputMessage="true" sqref="C6" type="none">
      <formula1>0</formula1>
      <formula2>0</formula2>
    </dataValidation>
    <dataValidation allowBlank="true" errorStyle="stop" operator="between" prompt="Quanto dinheiro já existe (R$). Pode ser 0." promptTitle="Caixa inicial" showDropDown="false" showErrorMessage="false" showInputMessage="true" sqref="C7" type="none">
      <formula1>0</formula1>
      <formula2>0</formula2>
    </dataValidation>
    <dataValidation allowBlank="true" errorStyle="stop" operator="between" prompt="Quantas assinaturas novas no primeiro mês." promptTitle="Novos no mês 1" showDropDown="false" showErrorMessage="false" showInputMessage="true" sqref="C17:E17" type="none">
      <formula1>0</formula1>
      <formula2>0</formula2>
    </dataValidation>
    <dataValidation allowBlank="true" errorStyle="stop" operator="between" prompt="Quanto os novos clientes crescem a cada mês. Digite 7% ou 0,07." promptTitle="Crescimento" showDropDown="false" showErrorMessage="false" showInputMessage="true" sqref="C18:E18" type="none">
      <formula1>0</formula1>
      <formula2>0</formula2>
    </dataValidation>
    <dataValidation allowBlank="true" errorStyle="stop" operator="between" prompt="% dos clientes que cancelam por mês. Digite 5% ou 0,05." promptTitle="Churn" showDropDown="false" showErrorMessage="false" showInputMessage="true" sqref="C19:E19" type="none">
      <formula1>0</formula1>
      <formula2>0</formula2>
    </dataValidation>
    <dataValidation allowBlank="true" errorStyle="stop" operator="between" prompt="% dos clientes no Pro. Digite 25% ou 0,25." promptTitle="Plano Pro" showDropDown="false" showErrorMessage="false" showInputMessage="true" sqref="C20:E20" type="none">
      <formula1>0</formula1>
      <formula2>0</formula2>
    </dataValidation>
    <dataValidation allowBlank="true" errorStyle="stop" operator="between" prompt="% dos clientes que pagam anual. Digite 20% ou 0,20." promptTitle="Plano anual" showDropDown="false" showErrorMessage="false" showInputMessage="true" sqref="C21:E21" type="none">
      <formula1>0</formula1>
      <formula2>0</formula2>
    </dataValidation>
    <dataValidation allowBlank="true" errorStyle="stop" operator="between" prompt="Imposto (Simples) + taxa do gateway, somados. Ex.: 9,5%." promptTitle="Taxas" showDropDown="false" showErrorMessage="false" showInputMessage="true" sqref="C24" type="none">
      <formula1>0</formula1>
      <formula2>0</formula2>
    </dataValidation>
    <dataValidation allowBlank="true" errorStyle="stop" operator="between" prompt="Quanto vai gastar por mês para conquistar clientes (R$)." promptTitle="Anúncios" showDropDown="false" showErrorMessage="false" showInputMessage="true" sqref="C25" type="none">
      <formula1>0</formula1>
      <formula2>0</formula2>
    </dataValidation>
    <dataValidation allowBlank="true" errorStyle="stop" operator="between" prompt="Valor por mês (R$). Custo anual? Divida por 12." promptTitle="Custo fixo" showDropDown="false" showErrorMessage="false" showInputMessage="true" sqref="C29:C36" type="none">
      <formula1>0</formula1>
      <formula2>0</formula2>
    </dataValidation>
  </dataValidations>
  <hyperlinks>
    <hyperlink ref="B1" r:id="rId1" location="'Painel'!A1" display="⌂  Paine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5C66"/>
    <pageSetUpPr fitToPage="true"/>
  </sheetPr>
  <dimension ref="A1:T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7"/>
    <col collapsed="false" customWidth="true" hidden="false" outlineLevel="0" max="3" min="3" style="1" width="10"/>
    <col collapsed="false" customWidth="true" hidden="false" outlineLevel="0" max="14" min="4" style="1" width="14"/>
  </cols>
  <sheetData>
    <row r="1" customFormat="false" ht="24" hidden="false" customHeight="true" outlineLevel="0" collapsed="false">
      <c r="A1" s="2"/>
      <c r="B1" s="26" t="s">
        <v>28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42" hidden="false" customHeight="true" outlineLevel="0" collapsed="false">
      <c r="A2" s="2"/>
      <c r="B2" s="27" t="s">
        <v>87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"/>
      <c r="P2" s="2"/>
      <c r="Q2" s="2"/>
      <c r="R2" s="2"/>
      <c r="S2" s="2"/>
      <c r="T2" s="2"/>
    </row>
    <row r="3" customFormat="false" ht="15" hidden="false" customHeight="true" outlineLevel="0" collapsed="false">
      <c r="A3" s="2"/>
      <c r="B3" s="5" t="s">
        <v>88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customFormat="false" ht="15" hidden="false" customHeight="true" outlineLevel="0" collapsed="false">
      <c r="A4" s="2"/>
      <c r="B4" s="2"/>
      <c r="C4" s="2"/>
      <c r="D4" s="45" t="s">
        <v>89</v>
      </c>
      <c r="E4" s="45"/>
      <c r="F4" s="45"/>
      <c r="G4" s="45"/>
      <c r="H4" s="45"/>
      <c r="I4" s="45"/>
      <c r="J4" s="45" t="s">
        <v>90</v>
      </c>
      <c r="K4" s="45"/>
      <c r="L4" s="45"/>
      <c r="M4" s="45"/>
      <c r="N4" s="45"/>
      <c r="O4" s="2"/>
      <c r="P4" s="2"/>
      <c r="Q4" s="2"/>
      <c r="R4" s="2"/>
      <c r="S4" s="2"/>
      <c r="T4" s="2"/>
    </row>
    <row r="5" customFormat="false" ht="42" hidden="false" customHeight="true" outlineLevel="0" collapsed="false">
      <c r="A5" s="2"/>
      <c r="B5" s="33" t="s">
        <v>91</v>
      </c>
      <c r="C5" s="33" t="s">
        <v>92</v>
      </c>
      <c r="D5" s="33" t="s">
        <v>93</v>
      </c>
      <c r="E5" s="33" t="s">
        <v>94</v>
      </c>
      <c r="F5" s="33" t="s">
        <v>95</v>
      </c>
      <c r="G5" s="33" t="s">
        <v>96</v>
      </c>
      <c r="H5" s="33" t="s">
        <v>97</v>
      </c>
      <c r="I5" s="33" t="s">
        <v>98</v>
      </c>
      <c r="J5" s="33" t="s">
        <v>99</v>
      </c>
      <c r="K5" s="33" t="s">
        <v>100</v>
      </c>
      <c r="L5" s="33" t="s">
        <v>18</v>
      </c>
      <c r="M5" s="33" t="s">
        <v>19</v>
      </c>
      <c r="N5" s="33" t="s">
        <v>20</v>
      </c>
      <c r="O5" s="2"/>
      <c r="P5" s="2"/>
      <c r="Q5" s="2"/>
      <c r="R5" s="2"/>
      <c r="S5" s="2"/>
      <c r="T5" s="2"/>
    </row>
    <row r="6" customFormat="false" ht="15" hidden="false" customHeight="true" outlineLevel="0" collapsed="false">
      <c r="A6" s="2"/>
      <c r="B6" s="46" t="n">
        <f aca="false">Projeção!B6</f>
        <v>1</v>
      </c>
      <c r="C6" s="47" t="n">
        <f aca="false">Projeção!C6</f>
        <v>46296</v>
      </c>
      <c r="D6" s="48"/>
      <c r="E6" s="48"/>
      <c r="F6" s="48"/>
      <c r="G6" s="30"/>
      <c r="H6" s="30"/>
      <c r="I6" s="30"/>
      <c r="J6" s="49" t="n">
        <f aca="false">Projeção!F6</f>
        <v>0</v>
      </c>
      <c r="K6" s="50" t="str">
        <f aca="false">IF(D6="","",IFERROR(D6/J6-1,""))</f>
        <v/>
      </c>
      <c r="L6" s="51" t="str">
        <f aca="false">IF(OR(D6="",F6=""),"",IFERROR(F6/(D6-E6+F6),""))</f>
        <v/>
      </c>
      <c r="M6" s="36" t="str">
        <f aca="false">IF(OR(I6="",E6=""),"",IFERROR(I6/E6,""))</f>
        <v/>
      </c>
      <c r="N6" s="44" t="str">
        <f aca="false">IF(OR(G6="",H6=""),"",G6-H6)</f>
        <v/>
      </c>
      <c r="O6" s="2"/>
      <c r="P6" s="2"/>
      <c r="Q6" s="2"/>
      <c r="R6" s="2"/>
      <c r="S6" s="2"/>
      <c r="T6" s="2"/>
    </row>
    <row r="7" customFormat="false" ht="15" hidden="false" customHeight="true" outlineLevel="0" collapsed="false">
      <c r="A7" s="2"/>
      <c r="B7" s="46" t="n">
        <f aca="false">Projeção!B7</f>
        <v>2</v>
      </c>
      <c r="C7" s="47" t="n">
        <f aca="false">Projeção!C7</f>
        <v>46327</v>
      </c>
      <c r="D7" s="48"/>
      <c r="E7" s="48"/>
      <c r="F7" s="48"/>
      <c r="G7" s="30"/>
      <c r="H7" s="30"/>
      <c r="I7" s="30"/>
      <c r="J7" s="49" t="n">
        <f aca="false">Projeção!F7</f>
        <v>0</v>
      </c>
      <c r="K7" s="50" t="str">
        <f aca="false">IF(D7="","",IFERROR(D7/J7-1,""))</f>
        <v/>
      </c>
      <c r="L7" s="51" t="str">
        <f aca="false">IF(OR(D7="",F7=""),"",IFERROR(F7/(D7-E7+F7),""))</f>
        <v/>
      </c>
      <c r="M7" s="36" t="str">
        <f aca="false">IF(OR(I7="",E7=""),"",IFERROR(I7/E7,""))</f>
        <v/>
      </c>
      <c r="N7" s="44" t="str">
        <f aca="false">IF(OR(G7="",H7=""),"",G7-H7)</f>
        <v/>
      </c>
      <c r="O7" s="2"/>
      <c r="P7" s="2"/>
      <c r="Q7" s="2"/>
      <c r="R7" s="2"/>
      <c r="S7" s="2"/>
      <c r="T7" s="2"/>
    </row>
    <row r="8" customFormat="false" ht="15" hidden="false" customHeight="true" outlineLevel="0" collapsed="false">
      <c r="A8" s="2"/>
      <c r="B8" s="46" t="n">
        <f aca="false">Projeção!B8</f>
        <v>3</v>
      </c>
      <c r="C8" s="47" t="n">
        <f aca="false">Projeção!C8</f>
        <v>46357</v>
      </c>
      <c r="D8" s="48"/>
      <c r="E8" s="48"/>
      <c r="F8" s="48"/>
      <c r="G8" s="30"/>
      <c r="H8" s="30"/>
      <c r="I8" s="30"/>
      <c r="J8" s="49" t="n">
        <f aca="false">Projeção!F8</f>
        <v>0</v>
      </c>
      <c r="K8" s="50" t="str">
        <f aca="false">IF(D8="","",IFERROR(D8/J8-1,""))</f>
        <v/>
      </c>
      <c r="L8" s="51" t="str">
        <f aca="false">IF(OR(D8="",F8=""),"",IFERROR(F8/(D8-E8+F8),""))</f>
        <v/>
      </c>
      <c r="M8" s="36" t="str">
        <f aca="false">IF(OR(I8="",E8=""),"",IFERROR(I8/E8,""))</f>
        <v/>
      </c>
      <c r="N8" s="44" t="str">
        <f aca="false">IF(OR(G8="",H8=""),"",G8-H8)</f>
        <v/>
      </c>
      <c r="O8" s="2"/>
      <c r="P8" s="2"/>
      <c r="Q8" s="2"/>
      <c r="R8" s="2"/>
      <c r="S8" s="2"/>
      <c r="T8" s="2"/>
    </row>
    <row r="9" customFormat="false" ht="15" hidden="false" customHeight="true" outlineLevel="0" collapsed="false">
      <c r="A9" s="2"/>
      <c r="B9" s="46" t="n">
        <f aca="false">Projeção!B9</f>
        <v>4</v>
      </c>
      <c r="C9" s="47" t="n">
        <f aca="false">Projeção!C9</f>
        <v>46388</v>
      </c>
      <c r="D9" s="48"/>
      <c r="E9" s="48"/>
      <c r="F9" s="48"/>
      <c r="G9" s="30"/>
      <c r="H9" s="30"/>
      <c r="I9" s="30"/>
      <c r="J9" s="49" t="n">
        <f aca="false">Projeção!F9</f>
        <v>0</v>
      </c>
      <c r="K9" s="50" t="str">
        <f aca="false">IF(D9="","",IFERROR(D9/J9-1,""))</f>
        <v/>
      </c>
      <c r="L9" s="51" t="str">
        <f aca="false">IF(OR(D9="",F9=""),"",IFERROR(F9/(D9-E9+F9),""))</f>
        <v/>
      </c>
      <c r="M9" s="36" t="str">
        <f aca="false">IF(OR(I9="",E9=""),"",IFERROR(I9/E9,""))</f>
        <v/>
      </c>
      <c r="N9" s="44" t="str">
        <f aca="false">IF(OR(G9="",H9=""),"",G9-H9)</f>
        <v/>
      </c>
      <c r="O9" s="2"/>
      <c r="P9" s="2"/>
      <c r="Q9" s="2"/>
      <c r="R9" s="2"/>
      <c r="S9" s="2"/>
      <c r="T9" s="2"/>
    </row>
    <row r="10" customFormat="false" ht="15" hidden="false" customHeight="true" outlineLevel="0" collapsed="false">
      <c r="A10" s="2"/>
      <c r="B10" s="46" t="n">
        <f aca="false">Projeção!B10</f>
        <v>5</v>
      </c>
      <c r="C10" s="47" t="n">
        <f aca="false">Projeção!C10</f>
        <v>46419</v>
      </c>
      <c r="D10" s="48"/>
      <c r="E10" s="48"/>
      <c r="F10" s="48"/>
      <c r="G10" s="30"/>
      <c r="H10" s="30"/>
      <c r="I10" s="30"/>
      <c r="J10" s="49" t="n">
        <f aca="false">Projeção!F10</f>
        <v>0</v>
      </c>
      <c r="K10" s="50" t="str">
        <f aca="false">IF(D10="","",IFERROR(D10/J10-1,""))</f>
        <v/>
      </c>
      <c r="L10" s="51" t="str">
        <f aca="false">IF(OR(D10="",F10=""),"",IFERROR(F10/(D10-E10+F10),""))</f>
        <v/>
      </c>
      <c r="M10" s="36" t="str">
        <f aca="false">IF(OR(I10="",E10=""),"",IFERROR(I10/E10,""))</f>
        <v/>
      </c>
      <c r="N10" s="44" t="str">
        <f aca="false">IF(OR(G10="",H10=""),"",G10-H10)</f>
        <v/>
      </c>
      <c r="O10" s="2"/>
      <c r="P10" s="2"/>
      <c r="Q10" s="2"/>
      <c r="R10" s="2"/>
      <c r="S10" s="2"/>
      <c r="T10" s="2"/>
    </row>
    <row r="11" customFormat="false" ht="15" hidden="false" customHeight="true" outlineLevel="0" collapsed="false">
      <c r="A11" s="2"/>
      <c r="B11" s="46" t="n">
        <f aca="false">Projeção!B11</f>
        <v>6</v>
      </c>
      <c r="C11" s="47" t="n">
        <f aca="false">Projeção!C11</f>
        <v>46447</v>
      </c>
      <c r="D11" s="48"/>
      <c r="E11" s="48"/>
      <c r="F11" s="48"/>
      <c r="G11" s="30"/>
      <c r="H11" s="30"/>
      <c r="I11" s="30"/>
      <c r="J11" s="49" t="n">
        <f aca="false">Projeção!F11</f>
        <v>0</v>
      </c>
      <c r="K11" s="50" t="str">
        <f aca="false">IF(D11="","",IFERROR(D11/J11-1,""))</f>
        <v/>
      </c>
      <c r="L11" s="51" t="str">
        <f aca="false">IF(OR(D11="",F11=""),"",IFERROR(F11/(D11-E11+F11),""))</f>
        <v/>
      </c>
      <c r="M11" s="36" t="str">
        <f aca="false">IF(OR(I11="",E11=""),"",IFERROR(I11/E11,""))</f>
        <v/>
      </c>
      <c r="N11" s="44" t="str">
        <f aca="false">IF(OR(G11="",H11=""),"",G11-H11)</f>
        <v/>
      </c>
      <c r="O11" s="2"/>
      <c r="P11" s="2"/>
      <c r="Q11" s="2"/>
      <c r="R11" s="2"/>
      <c r="S11" s="2"/>
      <c r="T11" s="2"/>
    </row>
    <row r="12" customFormat="false" ht="15" hidden="false" customHeight="true" outlineLevel="0" collapsed="false">
      <c r="A12" s="2"/>
      <c r="B12" s="46" t="n">
        <f aca="false">Projeção!B12</f>
        <v>7</v>
      </c>
      <c r="C12" s="47" t="n">
        <f aca="false">Projeção!C12</f>
        <v>46478</v>
      </c>
      <c r="D12" s="48"/>
      <c r="E12" s="48"/>
      <c r="F12" s="48"/>
      <c r="G12" s="30"/>
      <c r="H12" s="30"/>
      <c r="I12" s="30"/>
      <c r="J12" s="49" t="n">
        <f aca="false">Projeção!F12</f>
        <v>0</v>
      </c>
      <c r="K12" s="50" t="str">
        <f aca="false">IF(D12="","",IFERROR(D12/J12-1,""))</f>
        <v/>
      </c>
      <c r="L12" s="51" t="str">
        <f aca="false">IF(OR(D12="",F12=""),"",IFERROR(F12/(D12-E12+F12),""))</f>
        <v/>
      </c>
      <c r="M12" s="36" t="str">
        <f aca="false">IF(OR(I12="",E12=""),"",IFERROR(I12/E12,""))</f>
        <v/>
      </c>
      <c r="N12" s="44" t="str">
        <f aca="false">IF(OR(G12="",H12=""),"",G12-H12)</f>
        <v/>
      </c>
      <c r="O12" s="2"/>
      <c r="P12" s="2"/>
      <c r="Q12" s="2"/>
      <c r="R12" s="2"/>
      <c r="S12" s="2"/>
      <c r="T12" s="2"/>
    </row>
    <row r="13" customFormat="false" ht="15" hidden="false" customHeight="true" outlineLevel="0" collapsed="false">
      <c r="A13" s="2"/>
      <c r="B13" s="46" t="n">
        <f aca="false">Projeção!B13</f>
        <v>8</v>
      </c>
      <c r="C13" s="47" t="n">
        <f aca="false">Projeção!C13</f>
        <v>46508</v>
      </c>
      <c r="D13" s="48"/>
      <c r="E13" s="48"/>
      <c r="F13" s="48"/>
      <c r="G13" s="30"/>
      <c r="H13" s="30"/>
      <c r="I13" s="30"/>
      <c r="J13" s="49" t="n">
        <f aca="false">Projeção!F13</f>
        <v>0</v>
      </c>
      <c r="K13" s="50" t="str">
        <f aca="false">IF(D13="","",IFERROR(D13/J13-1,""))</f>
        <v/>
      </c>
      <c r="L13" s="51" t="str">
        <f aca="false">IF(OR(D13="",F13=""),"",IFERROR(F13/(D13-E13+F13),""))</f>
        <v/>
      </c>
      <c r="M13" s="36" t="str">
        <f aca="false">IF(OR(I13="",E13=""),"",IFERROR(I13/E13,""))</f>
        <v/>
      </c>
      <c r="N13" s="44" t="str">
        <f aca="false">IF(OR(G13="",H13=""),"",G13-H13)</f>
        <v/>
      </c>
      <c r="O13" s="2"/>
      <c r="P13" s="2"/>
      <c r="Q13" s="2"/>
      <c r="R13" s="2"/>
      <c r="S13" s="2"/>
      <c r="T13" s="2"/>
    </row>
    <row r="14" customFormat="false" ht="15" hidden="false" customHeight="true" outlineLevel="0" collapsed="false">
      <c r="A14" s="2"/>
      <c r="B14" s="46" t="n">
        <f aca="false">Projeção!B14</f>
        <v>9</v>
      </c>
      <c r="C14" s="47" t="n">
        <f aca="false">Projeção!C14</f>
        <v>46539</v>
      </c>
      <c r="D14" s="48"/>
      <c r="E14" s="48"/>
      <c r="F14" s="48"/>
      <c r="G14" s="30"/>
      <c r="H14" s="30"/>
      <c r="I14" s="30"/>
      <c r="J14" s="49" t="n">
        <f aca="false">Projeção!F14</f>
        <v>0</v>
      </c>
      <c r="K14" s="50" t="str">
        <f aca="false">IF(D14="","",IFERROR(D14/J14-1,""))</f>
        <v/>
      </c>
      <c r="L14" s="51" t="str">
        <f aca="false">IF(OR(D14="",F14=""),"",IFERROR(F14/(D14-E14+F14),""))</f>
        <v/>
      </c>
      <c r="M14" s="36" t="str">
        <f aca="false">IF(OR(I14="",E14=""),"",IFERROR(I14/E14,""))</f>
        <v/>
      </c>
      <c r="N14" s="44" t="str">
        <f aca="false">IF(OR(G14="",H14=""),"",G14-H14)</f>
        <v/>
      </c>
      <c r="O14" s="2"/>
      <c r="P14" s="2"/>
      <c r="Q14" s="2"/>
      <c r="R14" s="2"/>
      <c r="S14" s="2"/>
      <c r="T14" s="2"/>
    </row>
    <row r="15" customFormat="false" ht="15" hidden="false" customHeight="true" outlineLevel="0" collapsed="false">
      <c r="A15" s="2"/>
      <c r="B15" s="46" t="n">
        <f aca="false">Projeção!B15</f>
        <v>10</v>
      </c>
      <c r="C15" s="47" t="n">
        <f aca="false">Projeção!C15</f>
        <v>46569</v>
      </c>
      <c r="D15" s="48"/>
      <c r="E15" s="48"/>
      <c r="F15" s="48"/>
      <c r="G15" s="30"/>
      <c r="H15" s="30"/>
      <c r="I15" s="30"/>
      <c r="J15" s="49" t="n">
        <f aca="false">Projeção!F15</f>
        <v>0</v>
      </c>
      <c r="K15" s="50" t="str">
        <f aca="false">IF(D15="","",IFERROR(D15/J15-1,""))</f>
        <v/>
      </c>
      <c r="L15" s="51" t="str">
        <f aca="false">IF(OR(D15="",F15=""),"",IFERROR(F15/(D15-E15+F15),""))</f>
        <v/>
      </c>
      <c r="M15" s="36" t="str">
        <f aca="false">IF(OR(I15="",E15=""),"",IFERROR(I15/E15,""))</f>
        <v/>
      </c>
      <c r="N15" s="44" t="str">
        <f aca="false">IF(OR(G15="",H15=""),"",G15-H15)</f>
        <v/>
      </c>
      <c r="O15" s="2"/>
      <c r="P15" s="2"/>
      <c r="Q15" s="2"/>
      <c r="R15" s="2"/>
      <c r="S15" s="2"/>
      <c r="T15" s="2"/>
    </row>
    <row r="16" customFormat="false" ht="15" hidden="false" customHeight="true" outlineLevel="0" collapsed="false">
      <c r="A16" s="2"/>
      <c r="B16" s="46" t="n">
        <f aca="false">Projeção!B16</f>
        <v>11</v>
      </c>
      <c r="C16" s="47" t="n">
        <f aca="false">Projeção!C16</f>
        <v>46600</v>
      </c>
      <c r="D16" s="48"/>
      <c r="E16" s="48"/>
      <c r="F16" s="48"/>
      <c r="G16" s="30"/>
      <c r="H16" s="30"/>
      <c r="I16" s="30"/>
      <c r="J16" s="49" t="n">
        <f aca="false">Projeção!F16</f>
        <v>0</v>
      </c>
      <c r="K16" s="50" t="str">
        <f aca="false">IF(D16="","",IFERROR(D16/J16-1,""))</f>
        <v/>
      </c>
      <c r="L16" s="51" t="str">
        <f aca="false">IF(OR(D16="",F16=""),"",IFERROR(F16/(D16-E16+F16),""))</f>
        <v/>
      </c>
      <c r="M16" s="36" t="str">
        <f aca="false">IF(OR(I16="",E16=""),"",IFERROR(I16/E16,""))</f>
        <v/>
      </c>
      <c r="N16" s="44" t="str">
        <f aca="false">IF(OR(G16="",H16=""),"",G16-H16)</f>
        <v/>
      </c>
      <c r="O16" s="2"/>
      <c r="P16" s="2"/>
      <c r="Q16" s="2"/>
      <c r="R16" s="2"/>
      <c r="S16" s="2"/>
      <c r="T16" s="2"/>
    </row>
    <row r="17" customFormat="false" ht="15" hidden="false" customHeight="true" outlineLevel="0" collapsed="false">
      <c r="A17" s="2"/>
      <c r="B17" s="46" t="n">
        <f aca="false">Projeção!B17</f>
        <v>12</v>
      </c>
      <c r="C17" s="47" t="n">
        <f aca="false">Projeção!C17</f>
        <v>46631</v>
      </c>
      <c r="D17" s="48"/>
      <c r="E17" s="48"/>
      <c r="F17" s="48"/>
      <c r="G17" s="30"/>
      <c r="H17" s="30"/>
      <c r="I17" s="30"/>
      <c r="J17" s="49" t="n">
        <f aca="false">Projeção!F17</f>
        <v>0</v>
      </c>
      <c r="K17" s="50" t="str">
        <f aca="false">IF(D17="","",IFERROR(D17/J17-1,""))</f>
        <v/>
      </c>
      <c r="L17" s="51" t="str">
        <f aca="false">IF(OR(D17="",F17=""),"",IFERROR(F17/(D17-E17+F17),""))</f>
        <v/>
      </c>
      <c r="M17" s="36" t="str">
        <f aca="false">IF(OR(I17="",E17=""),"",IFERROR(I17/E17,""))</f>
        <v/>
      </c>
      <c r="N17" s="44" t="str">
        <f aca="false">IF(OR(G17="",H17=""),"",G17-H17)</f>
        <v/>
      </c>
      <c r="O17" s="2"/>
      <c r="P17" s="2"/>
      <c r="Q17" s="2"/>
      <c r="R17" s="2"/>
      <c r="S17" s="2"/>
      <c r="T17" s="2"/>
    </row>
    <row r="18" customFormat="false" ht="15" hidden="false" customHeight="true" outlineLevel="0" collapsed="false">
      <c r="A18" s="2"/>
      <c r="B18" s="46" t="n">
        <f aca="false">Projeção!B18</f>
        <v>13</v>
      </c>
      <c r="C18" s="47" t="n">
        <f aca="false">Projeção!C18</f>
        <v>46661</v>
      </c>
      <c r="D18" s="48"/>
      <c r="E18" s="48"/>
      <c r="F18" s="48"/>
      <c r="G18" s="30"/>
      <c r="H18" s="30"/>
      <c r="I18" s="30"/>
      <c r="J18" s="49" t="n">
        <f aca="false">Projeção!F18</f>
        <v>0</v>
      </c>
      <c r="K18" s="50" t="str">
        <f aca="false">IF(D18="","",IFERROR(D18/J18-1,""))</f>
        <v/>
      </c>
      <c r="L18" s="51" t="str">
        <f aca="false">IF(OR(D18="",F18=""),"",IFERROR(F18/(D18-E18+F18),""))</f>
        <v/>
      </c>
      <c r="M18" s="36" t="str">
        <f aca="false">IF(OR(I18="",E18=""),"",IFERROR(I18/E18,""))</f>
        <v/>
      </c>
      <c r="N18" s="44" t="str">
        <f aca="false">IF(OR(G18="",H18=""),"",G18-H18)</f>
        <v/>
      </c>
      <c r="O18" s="2"/>
      <c r="P18" s="2"/>
      <c r="Q18" s="2"/>
      <c r="R18" s="2"/>
      <c r="S18" s="2"/>
      <c r="T18" s="2"/>
    </row>
    <row r="19" customFormat="false" ht="15" hidden="false" customHeight="true" outlineLevel="0" collapsed="false">
      <c r="A19" s="2"/>
      <c r="B19" s="46" t="n">
        <f aca="false">Projeção!B19</f>
        <v>14</v>
      </c>
      <c r="C19" s="47" t="n">
        <f aca="false">Projeção!C19</f>
        <v>46692</v>
      </c>
      <c r="D19" s="48"/>
      <c r="E19" s="48"/>
      <c r="F19" s="48"/>
      <c r="G19" s="30"/>
      <c r="H19" s="30"/>
      <c r="I19" s="30"/>
      <c r="J19" s="49" t="n">
        <f aca="false">Projeção!F19</f>
        <v>0</v>
      </c>
      <c r="K19" s="50" t="str">
        <f aca="false">IF(D19="","",IFERROR(D19/J19-1,""))</f>
        <v/>
      </c>
      <c r="L19" s="51" t="str">
        <f aca="false">IF(OR(D19="",F19=""),"",IFERROR(F19/(D19-E19+F19),""))</f>
        <v/>
      </c>
      <c r="M19" s="36" t="str">
        <f aca="false">IF(OR(I19="",E19=""),"",IFERROR(I19/E19,""))</f>
        <v/>
      </c>
      <c r="N19" s="44" t="str">
        <f aca="false">IF(OR(G19="",H19=""),"",G19-H19)</f>
        <v/>
      </c>
      <c r="O19" s="2"/>
      <c r="P19" s="2"/>
      <c r="Q19" s="2"/>
      <c r="R19" s="2"/>
      <c r="S19" s="2"/>
      <c r="T19" s="2"/>
    </row>
    <row r="20" customFormat="false" ht="15" hidden="false" customHeight="true" outlineLevel="0" collapsed="false">
      <c r="A20" s="2"/>
      <c r="B20" s="46" t="n">
        <f aca="false">Projeção!B20</f>
        <v>15</v>
      </c>
      <c r="C20" s="47" t="n">
        <f aca="false">Projeção!C20</f>
        <v>46722</v>
      </c>
      <c r="D20" s="48"/>
      <c r="E20" s="48"/>
      <c r="F20" s="48"/>
      <c r="G20" s="30"/>
      <c r="H20" s="30"/>
      <c r="I20" s="30"/>
      <c r="J20" s="49" t="n">
        <f aca="false">Projeção!F20</f>
        <v>0</v>
      </c>
      <c r="K20" s="50" t="str">
        <f aca="false">IF(D20="","",IFERROR(D20/J20-1,""))</f>
        <v/>
      </c>
      <c r="L20" s="51" t="str">
        <f aca="false">IF(OR(D20="",F20=""),"",IFERROR(F20/(D20-E20+F20),""))</f>
        <v/>
      </c>
      <c r="M20" s="36" t="str">
        <f aca="false">IF(OR(I20="",E20=""),"",IFERROR(I20/E20,""))</f>
        <v/>
      </c>
      <c r="N20" s="44" t="str">
        <f aca="false">IF(OR(G20="",H20=""),"",G20-H20)</f>
        <v/>
      </c>
      <c r="O20" s="2"/>
      <c r="P20" s="2"/>
      <c r="Q20" s="2"/>
      <c r="R20" s="2"/>
      <c r="S20" s="2"/>
      <c r="T20" s="2"/>
    </row>
    <row r="21" customFormat="false" ht="15" hidden="false" customHeight="true" outlineLevel="0" collapsed="false">
      <c r="A21" s="2"/>
      <c r="B21" s="46" t="n">
        <f aca="false">Projeção!B21</f>
        <v>16</v>
      </c>
      <c r="C21" s="47" t="n">
        <f aca="false">Projeção!C21</f>
        <v>46753</v>
      </c>
      <c r="D21" s="48"/>
      <c r="E21" s="48"/>
      <c r="F21" s="48"/>
      <c r="G21" s="30"/>
      <c r="H21" s="30"/>
      <c r="I21" s="30"/>
      <c r="J21" s="49" t="n">
        <f aca="false">Projeção!F21</f>
        <v>0</v>
      </c>
      <c r="K21" s="50" t="str">
        <f aca="false">IF(D21="","",IFERROR(D21/J21-1,""))</f>
        <v/>
      </c>
      <c r="L21" s="51" t="str">
        <f aca="false">IF(OR(D21="",F21=""),"",IFERROR(F21/(D21-E21+F21),""))</f>
        <v/>
      </c>
      <c r="M21" s="36" t="str">
        <f aca="false">IF(OR(I21="",E21=""),"",IFERROR(I21/E21,""))</f>
        <v/>
      </c>
      <c r="N21" s="44" t="str">
        <f aca="false">IF(OR(G21="",H21=""),"",G21-H21)</f>
        <v/>
      </c>
      <c r="O21" s="2"/>
      <c r="P21" s="2"/>
      <c r="Q21" s="2"/>
      <c r="R21" s="2"/>
      <c r="S21" s="2"/>
      <c r="T21" s="2"/>
    </row>
    <row r="22" customFormat="false" ht="15" hidden="false" customHeight="true" outlineLevel="0" collapsed="false">
      <c r="A22" s="2"/>
      <c r="B22" s="46" t="n">
        <f aca="false">Projeção!B22</f>
        <v>17</v>
      </c>
      <c r="C22" s="47" t="n">
        <f aca="false">Projeção!C22</f>
        <v>46784</v>
      </c>
      <c r="D22" s="48"/>
      <c r="E22" s="48"/>
      <c r="F22" s="48"/>
      <c r="G22" s="30"/>
      <c r="H22" s="30"/>
      <c r="I22" s="30"/>
      <c r="J22" s="49" t="n">
        <f aca="false">Projeção!F22</f>
        <v>0</v>
      </c>
      <c r="K22" s="50" t="str">
        <f aca="false">IF(D22="","",IFERROR(D22/J22-1,""))</f>
        <v/>
      </c>
      <c r="L22" s="51" t="str">
        <f aca="false">IF(OR(D22="",F22=""),"",IFERROR(F22/(D22-E22+F22),""))</f>
        <v/>
      </c>
      <c r="M22" s="36" t="str">
        <f aca="false">IF(OR(I22="",E22=""),"",IFERROR(I22/E22,""))</f>
        <v/>
      </c>
      <c r="N22" s="44" t="str">
        <f aca="false">IF(OR(G22="",H22=""),"",G22-H22)</f>
        <v/>
      </c>
      <c r="O22" s="2"/>
      <c r="P22" s="2"/>
      <c r="Q22" s="2"/>
      <c r="R22" s="2"/>
      <c r="S22" s="2"/>
      <c r="T22" s="2"/>
    </row>
    <row r="23" customFormat="false" ht="15" hidden="false" customHeight="true" outlineLevel="0" collapsed="false">
      <c r="A23" s="2"/>
      <c r="B23" s="46" t="n">
        <f aca="false">Projeção!B23</f>
        <v>18</v>
      </c>
      <c r="C23" s="47" t="n">
        <f aca="false">Projeção!C23</f>
        <v>46813</v>
      </c>
      <c r="D23" s="48"/>
      <c r="E23" s="48"/>
      <c r="F23" s="48"/>
      <c r="G23" s="30"/>
      <c r="H23" s="30"/>
      <c r="I23" s="30"/>
      <c r="J23" s="49" t="n">
        <f aca="false">Projeção!F23</f>
        <v>0</v>
      </c>
      <c r="K23" s="50" t="str">
        <f aca="false">IF(D23="","",IFERROR(D23/J23-1,""))</f>
        <v/>
      </c>
      <c r="L23" s="51" t="str">
        <f aca="false">IF(OR(D23="",F23=""),"",IFERROR(F23/(D23-E23+F23),""))</f>
        <v/>
      </c>
      <c r="M23" s="36" t="str">
        <f aca="false">IF(OR(I23="",E23=""),"",IFERROR(I23/E23,""))</f>
        <v/>
      </c>
      <c r="N23" s="44" t="str">
        <f aca="false">IF(OR(G23="",H23=""),"",G23-H23)</f>
        <v/>
      </c>
      <c r="O23" s="2"/>
      <c r="P23" s="2"/>
      <c r="Q23" s="2"/>
      <c r="R23" s="2"/>
      <c r="S23" s="2"/>
      <c r="T23" s="2"/>
    </row>
    <row r="24" customFormat="false" ht="15" hidden="false" customHeight="true" outlineLevel="0" collapsed="false">
      <c r="A24" s="2"/>
      <c r="B24" s="46" t="n">
        <f aca="false">Projeção!B24</f>
        <v>19</v>
      </c>
      <c r="C24" s="47" t="n">
        <f aca="false">Projeção!C24</f>
        <v>46844</v>
      </c>
      <c r="D24" s="48"/>
      <c r="E24" s="48"/>
      <c r="F24" s="48"/>
      <c r="G24" s="30"/>
      <c r="H24" s="30"/>
      <c r="I24" s="30"/>
      <c r="J24" s="49" t="n">
        <f aca="false">Projeção!F24</f>
        <v>0</v>
      </c>
      <c r="K24" s="50" t="str">
        <f aca="false">IF(D24="","",IFERROR(D24/J24-1,""))</f>
        <v/>
      </c>
      <c r="L24" s="51" t="str">
        <f aca="false">IF(OR(D24="",F24=""),"",IFERROR(F24/(D24-E24+F24),""))</f>
        <v/>
      </c>
      <c r="M24" s="36" t="str">
        <f aca="false">IF(OR(I24="",E24=""),"",IFERROR(I24/E24,""))</f>
        <v/>
      </c>
      <c r="N24" s="44" t="str">
        <f aca="false">IF(OR(G24="",H24=""),"",G24-H24)</f>
        <v/>
      </c>
      <c r="O24" s="2"/>
      <c r="P24" s="2"/>
      <c r="Q24" s="2"/>
      <c r="R24" s="2"/>
      <c r="S24" s="2"/>
      <c r="T24" s="2"/>
    </row>
    <row r="25" customFormat="false" ht="15" hidden="false" customHeight="true" outlineLevel="0" collapsed="false">
      <c r="A25" s="2"/>
      <c r="B25" s="46" t="n">
        <f aca="false">Projeção!B25</f>
        <v>20</v>
      </c>
      <c r="C25" s="47" t="n">
        <f aca="false">Projeção!C25</f>
        <v>46874</v>
      </c>
      <c r="D25" s="48"/>
      <c r="E25" s="48"/>
      <c r="F25" s="48"/>
      <c r="G25" s="30"/>
      <c r="H25" s="30"/>
      <c r="I25" s="30"/>
      <c r="J25" s="49" t="n">
        <f aca="false">Projeção!F25</f>
        <v>0</v>
      </c>
      <c r="K25" s="50" t="str">
        <f aca="false">IF(D25="","",IFERROR(D25/J25-1,""))</f>
        <v/>
      </c>
      <c r="L25" s="51" t="str">
        <f aca="false">IF(OR(D25="",F25=""),"",IFERROR(F25/(D25-E25+F25),""))</f>
        <v/>
      </c>
      <c r="M25" s="36" t="str">
        <f aca="false">IF(OR(I25="",E25=""),"",IFERROR(I25/E25,""))</f>
        <v/>
      </c>
      <c r="N25" s="44" t="str">
        <f aca="false">IF(OR(G25="",H25=""),"",G25-H25)</f>
        <v/>
      </c>
      <c r="O25" s="2"/>
      <c r="P25" s="2"/>
      <c r="Q25" s="2"/>
      <c r="R25" s="2"/>
      <c r="S25" s="2"/>
      <c r="T25" s="2"/>
    </row>
    <row r="26" customFormat="false" ht="15" hidden="false" customHeight="true" outlineLevel="0" collapsed="false">
      <c r="A26" s="2"/>
      <c r="B26" s="46" t="n">
        <f aca="false">Projeção!B26</f>
        <v>21</v>
      </c>
      <c r="C26" s="47" t="n">
        <f aca="false">Projeção!C26</f>
        <v>46905</v>
      </c>
      <c r="D26" s="48"/>
      <c r="E26" s="48"/>
      <c r="F26" s="48"/>
      <c r="G26" s="30"/>
      <c r="H26" s="30"/>
      <c r="I26" s="30"/>
      <c r="J26" s="49" t="n">
        <f aca="false">Projeção!F26</f>
        <v>0</v>
      </c>
      <c r="K26" s="50" t="str">
        <f aca="false">IF(D26="","",IFERROR(D26/J26-1,""))</f>
        <v/>
      </c>
      <c r="L26" s="51" t="str">
        <f aca="false">IF(OR(D26="",F26=""),"",IFERROR(F26/(D26-E26+F26),""))</f>
        <v/>
      </c>
      <c r="M26" s="36" t="str">
        <f aca="false">IF(OR(I26="",E26=""),"",IFERROR(I26/E26,""))</f>
        <v/>
      </c>
      <c r="N26" s="44" t="str">
        <f aca="false">IF(OR(G26="",H26=""),"",G26-H26)</f>
        <v/>
      </c>
      <c r="O26" s="2"/>
      <c r="P26" s="2"/>
      <c r="Q26" s="2"/>
      <c r="R26" s="2"/>
      <c r="S26" s="2"/>
      <c r="T26" s="2"/>
    </row>
    <row r="27" customFormat="false" ht="15" hidden="false" customHeight="true" outlineLevel="0" collapsed="false">
      <c r="A27" s="2"/>
      <c r="B27" s="46" t="n">
        <f aca="false">Projeção!B27</f>
        <v>22</v>
      </c>
      <c r="C27" s="47" t="n">
        <f aca="false">Projeção!C27</f>
        <v>46935</v>
      </c>
      <c r="D27" s="48"/>
      <c r="E27" s="48"/>
      <c r="F27" s="48"/>
      <c r="G27" s="30"/>
      <c r="H27" s="30"/>
      <c r="I27" s="30"/>
      <c r="J27" s="49" t="n">
        <f aca="false">Projeção!F27</f>
        <v>0</v>
      </c>
      <c r="K27" s="50" t="str">
        <f aca="false">IF(D27="","",IFERROR(D27/J27-1,""))</f>
        <v/>
      </c>
      <c r="L27" s="51" t="str">
        <f aca="false">IF(OR(D27="",F27=""),"",IFERROR(F27/(D27-E27+F27),""))</f>
        <v/>
      </c>
      <c r="M27" s="36" t="str">
        <f aca="false">IF(OR(I27="",E27=""),"",IFERROR(I27/E27,""))</f>
        <v/>
      </c>
      <c r="N27" s="44" t="str">
        <f aca="false">IF(OR(G27="",H27=""),"",G27-H27)</f>
        <v/>
      </c>
      <c r="O27" s="2"/>
      <c r="P27" s="2"/>
      <c r="Q27" s="2"/>
      <c r="R27" s="2"/>
      <c r="S27" s="2"/>
      <c r="T27" s="2"/>
    </row>
    <row r="28" customFormat="false" ht="15" hidden="false" customHeight="true" outlineLevel="0" collapsed="false">
      <c r="A28" s="2"/>
      <c r="B28" s="46" t="n">
        <f aca="false">Projeção!B28</f>
        <v>23</v>
      </c>
      <c r="C28" s="47" t="n">
        <f aca="false">Projeção!C28</f>
        <v>46966</v>
      </c>
      <c r="D28" s="48"/>
      <c r="E28" s="48"/>
      <c r="F28" s="48"/>
      <c r="G28" s="30"/>
      <c r="H28" s="30"/>
      <c r="I28" s="30"/>
      <c r="J28" s="49" t="n">
        <f aca="false">Projeção!F28</f>
        <v>0</v>
      </c>
      <c r="K28" s="50" t="str">
        <f aca="false">IF(D28="","",IFERROR(D28/J28-1,""))</f>
        <v/>
      </c>
      <c r="L28" s="51" t="str">
        <f aca="false">IF(OR(D28="",F28=""),"",IFERROR(F28/(D28-E28+F28),""))</f>
        <v/>
      </c>
      <c r="M28" s="36" t="str">
        <f aca="false">IF(OR(I28="",E28=""),"",IFERROR(I28/E28,""))</f>
        <v/>
      </c>
      <c r="N28" s="44" t="str">
        <f aca="false">IF(OR(G28="",H28=""),"",G28-H28)</f>
        <v/>
      </c>
      <c r="O28" s="2"/>
      <c r="P28" s="2"/>
      <c r="Q28" s="2"/>
      <c r="R28" s="2"/>
      <c r="S28" s="2"/>
      <c r="T28" s="2"/>
    </row>
    <row r="29" customFormat="false" ht="15" hidden="false" customHeight="true" outlineLevel="0" collapsed="false">
      <c r="A29" s="2"/>
      <c r="B29" s="46" t="n">
        <f aca="false">Projeção!B29</f>
        <v>24</v>
      </c>
      <c r="C29" s="47" t="n">
        <f aca="false">Projeção!C29</f>
        <v>46997</v>
      </c>
      <c r="D29" s="48"/>
      <c r="E29" s="48"/>
      <c r="F29" s="48"/>
      <c r="G29" s="30"/>
      <c r="H29" s="30"/>
      <c r="I29" s="30"/>
      <c r="J29" s="49" t="n">
        <f aca="false">Projeção!F29</f>
        <v>0</v>
      </c>
      <c r="K29" s="50" t="str">
        <f aca="false">IF(D29="","",IFERROR(D29/J29-1,""))</f>
        <v/>
      </c>
      <c r="L29" s="51" t="str">
        <f aca="false">IF(OR(D29="",F29=""),"",IFERROR(F29/(D29-E29+F29),""))</f>
        <v/>
      </c>
      <c r="M29" s="36" t="str">
        <f aca="false">IF(OR(I29="",E29=""),"",IFERROR(I29/E29,""))</f>
        <v/>
      </c>
      <c r="N29" s="44" t="str">
        <f aca="false">IF(OR(G29="",H29=""),"",G29-H29)</f>
        <v/>
      </c>
      <c r="O29" s="2"/>
      <c r="P29" s="2"/>
      <c r="Q29" s="2"/>
      <c r="R29" s="2"/>
      <c r="S29" s="2"/>
      <c r="T29" s="2"/>
    </row>
    <row r="30" customFormat="false" ht="1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customFormat="false" ht="15" hidden="false" customHeight="true" outlineLevel="0" collapsed="false">
      <c r="A31" s="2"/>
      <c r="B31" s="52" t="s">
        <v>101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customFormat="false" ht="15" hidden="false" customHeight="true" outlineLevel="0" collapsed="false">
      <c r="A32" s="2"/>
      <c r="B32" s="5" t="s">
        <v>102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customFormat="false" ht="1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customFormat="false" ht="1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customFormat="false" ht="1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customFormat="false" ht="1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customFormat="false" ht="1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customFormat="false" ht="1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customFormat="false" ht="1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customFormat="false" ht="1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customFormat="false" ht="1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customFormat="false" ht="1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customFormat="false" ht="1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customFormat="false" ht="1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customFormat="false" ht="1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customFormat="false" ht="1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customFormat="false" ht="1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customFormat="false" ht="1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customFormat="false" ht="1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customFormat="false" ht="1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customFormat="false" ht="1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customFormat="false" ht="1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customFormat="false" ht="1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customFormat="false" ht="1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customFormat="false" ht="1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customFormat="false" ht="1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customFormat="false" ht="1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</sheetData>
  <mergeCells count="3">
    <mergeCell ref="B2:N2"/>
    <mergeCell ref="D4:I4"/>
    <mergeCell ref="J4:N4"/>
  </mergeCells>
  <conditionalFormatting sqref="K6:K29">
    <cfRule type="expression" priority="2" aboveAverage="0" equalAverage="0" bottom="0" percent="0" rank="0" text="" dxfId="0">
      <formula>AND(ISNUMBER(K6),K6&lt;-0.1)</formula>
    </cfRule>
    <cfRule type="expression" priority="3" aboveAverage="0" equalAverage="0" bottom="0" percent="0" rank="0" text="" dxfId="1">
      <formula>AND(ISNUMBER(K6),K6&gt;=0)</formula>
    </cfRule>
  </conditionalFormatting>
  <conditionalFormatting sqref="N6:N29">
    <cfRule type="expression" priority="4" aboveAverage="0" equalAverage="0" bottom="0" percent="0" rank="0" text="" dxfId="0">
      <formula>AND(ISNUMBER(N6),N6&lt;0)</formula>
    </cfRule>
    <cfRule type="expression" priority="5" aboveAverage="0" equalAverage="0" bottom="0" percent="0" rank="0" text="" dxfId="1">
      <formula>AND(ISNUMBER(N6),N6&gt;0)</formula>
    </cfRule>
  </conditionalFormatting>
  <dataValidations count="6">
    <dataValidation allowBlank="true" errorStyle="stop" operator="between" prompt="Quantas assinaturas ativas no último dia do mês." promptTitle="Clientes ativos" showDropDown="false" showErrorMessage="false" showInputMessage="true" sqref="D6:D29" type="none">
      <formula1>0</formula1>
      <formula2>0</formula2>
    </dataValidation>
    <dataValidation allowBlank="true" errorStyle="stop" operator="between" prompt="Quantos clientes novos pagaram neste mês." promptTitle="Novos" showDropDown="false" showErrorMessage="false" showInputMessage="true" sqref="E6:E29" type="none">
      <formula1>0</formula1>
      <formula2>0</formula2>
    </dataValidation>
    <dataValidation allowBlank="true" errorStyle="stop" operator="between" prompt="Quantos cancelaram neste mês." promptTitle="Cancelados" showDropDown="false" showErrorMessage="false" showInputMessage="true" sqref="F6:F29" type="none">
      <formula1>0</formula1>
      <formula2>0</formula2>
    </dataValidation>
    <dataValidation allowBlank="true" errorStyle="stop" operator="between" prompt="Tudo que entrou na conta no mês (mensalidades + anuais), já sem a taxa do gateway." promptTitle="Recebido" showDropDown="false" showErrorMessage="false" showInputMessage="true" sqref="G6:G29" type="none">
      <formula1>0</formula1>
      <formula2>0</formula2>
    </dataValidation>
    <dataValidation allowBlank="true" errorStyle="stop" operator="between" prompt="Tudo que saiu no mês: custos fixos, anúncios, impostos, pró-labore." promptTitle="Gasto total" showDropDown="false" showErrorMessage="false" showInputMessage="true" sqref="H6:H29" type="none">
      <formula1>0</formula1>
      <formula2>0</formula2>
    </dataValidation>
    <dataValidation allowBlank="true" errorStyle="stop" operator="between" prompt="Quanto do gasto total foi com anúncios/indicação (para calcular o CAC)." promptTitle="Anúncios" showDropDown="false" showErrorMessage="false" showInputMessage="true" sqref="I6:I29" type="none">
      <formula1>0</formula1>
      <formula2>0</formula2>
    </dataValidation>
  </dataValidations>
  <hyperlinks>
    <hyperlink ref="B1" r:id="rId1" location="'Painel'!A1" display="⌂  Paine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5C66"/>
    <pageSetUpPr fitToPage="true"/>
  </sheetPr>
  <dimension ref="A1:R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7"/>
    <col collapsed="false" customWidth="true" hidden="false" outlineLevel="0" max="3" min="3" style="1" width="10"/>
    <col collapsed="false" customWidth="true" hidden="false" outlineLevel="0" max="11" min="4" style="1" width="15"/>
    <col collapsed="false" customWidth="true" hidden="false" outlineLevel="0" max="12" min="12" style="1" width="12"/>
  </cols>
  <sheetData>
    <row r="1" customFormat="false" ht="24" hidden="false" customHeight="true" outlineLevel="0" collapsed="false">
      <c r="A1" s="2"/>
      <c r="B1" s="26" t="s">
        <v>28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42" hidden="false" customHeight="true" outlineLevel="0" collapsed="false">
      <c r="A2" s="2"/>
      <c r="B2" s="27" t="str">
        <f aca="false">"PROJEÇÃO 24 MESES  ·  CENÁRIO "&amp;UPPER(Premissas!$C$8)</f>
        <v>PROJEÇÃO 24 MESES  ·  CENÁRIO REALISTA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"/>
      <c r="N2" s="2"/>
      <c r="O2" s="2"/>
      <c r="P2" s="2"/>
      <c r="Q2" s="2"/>
      <c r="R2" s="2"/>
    </row>
    <row r="3" customFormat="false" ht="15" hidden="false" customHeight="true" outlineLevel="0" collapsed="false">
      <c r="A3" s="2"/>
      <c r="B3" s="5" t="s">
        <v>103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customFormat="false" ht="1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customFormat="false" ht="31.5" hidden="false" customHeight="true" outlineLevel="0" collapsed="false">
      <c r="A5" s="2"/>
      <c r="B5" s="33" t="s">
        <v>91</v>
      </c>
      <c r="C5" s="33" t="s">
        <v>92</v>
      </c>
      <c r="D5" s="33" t="s">
        <v>94</v>
      </c>
      <c r="E5" s="33" t="s">
        <v>95</v>
      </c>
      <c r="F5" s="33" t="s">
        <v>104</v>
      </c>
      <c r="G5" s="33" t="s">
        <v>105</v>
      </c>
      <c r="H5" s="33" t="s">
        <v>64</v>
      </c>
      <c r="I5" s="33" t="s">
        <v>106</v>
      </c>
      <c r="J5" s="33" t="s">
        <v>107</v>
      </c>
      <c r="K5" s="33" t="s">
        <v>108</v>
      </c>
      <c r="L5" s="53" t="s">
        <v>109</v>
      </c>
      <c r="M5" s="2"/>
      <c r="N5" s="2"/>
      <c r="O5" s="2"/>
      <c r="P5" s="2"/>
      <c r="Q5" s="2"/>
      <c r="R5" s="2"/>
    </row>
    <row r="6" customFormat="false" ht="15" hidden="false" customHeight="true" outlineLevel="0" collapsed="false">
      <c r="A6" s="2"/>
      <c r="B6" s="46" t="n">
        <f aca="false">1</f>
        <v>1</v>
      </c>
      <c r="C6" s="47" t="n">
        <f aca="false">EDATE(Premissas!$C$6,B6-1)</f>
        <v>46296</v>
      </c>
      <c r="D6" s="54" t="n">
        <f aca="false">Premissas!$F$17*(1+Premissas!$F$18)^(B6-1)</f>
        <v>0</v>
      </c>
      <c r="E6" s="54" t="n">
        <f aca="false">N(F5)*Premissas!$F$19</f>
        <v>0</v>
      </c>
      <c r="F6" s="55" t="n">
        <f aca="false">N(F5)-E6+D6</f>
        <v>0</v>
      </c>
      <c r="G6" s="36" t="n">
        <f aca="false">F6*Premissas!$C$40</f>
        <v>0</v>
      </c>
      <c r="H6" s="36" t="n">
        <f aca="false">G6*Premissas!$C$24+Premissas!$C$43</f>
        <v>0</v>
      </c>
      <c r="I6" s="44" t="n">
        <f aca="false">G6-H6</f>
        <v>0</v>
      </c>
      <c r="J6" s="36" t="n">
        <f aca="false">I6+(D6+IF(B6&gt;12,INDEX($D$6:$D$29,B6-12)*(1-Premissas!$F$19)^12,0))*Premissas!$F$21*Premissas!$C$42-F6*Premissas!$F$21*Premissas!$C$42/12</f>
        <v>0</v>
      </c>
      <c r="K6" s="44" t="n">
        <f aca="false">IF(B6=1,Premissas!$C$7,N(K5))+J6</f>
        <v>0</v>
      </c>
      <c r="L6" s="56" t="str">
        <f aca="false">IF(I6&gt;0,B6,"")</f>
        <v/>
      </c>
      <c r="M6" s="2"/>
      <c r="N6" s="2"/>
      <c r="O6" s="2"/>
      <c r="P6" s="2"/>
      <c r="Q6" s="2"/>
      <c r="R6" s="2"/>
    </row>
    <row r="7" customFormat="false" ht="15" hidden="false" customHeight="true" outlineLevel="0" collapsed="false">
      <c r="A7" s="2"/>
      <c r="B7" s="46" t="n">
        <f aca="false">B6+1</f>
        <v>2</v>
      </c>
      <c r="C7" s="47" t="n">
        <f aca="false">EDATE(Premissas!$C$6,B7-1)</f>
        <v>46327</v>
      </c>
      <c r="D7" s="54" t="n">
        <f aca="false">Premissas!$F$17*(1+Premissas!$F$18)^(B7-1)</f>
        <v>0</v>
      </c>
      <c r="E7" s="54" t="n">
        <f aca="false">N(F6)*Premissas!$F$19</f>
        <v>0</v>
      </c>
      <c r="F7" s="55" t="n">
        <f aca="false">N(F6)-E7+D7</f>
        <v>0</v>
      </c>
      <c r="G7" s="36" t="n">
        <f aca="false">F7*Premissas!$C$40</f>
        <v>0</v>
      </c>
      <c r="H7" s="36" t="n">
        <f aca="false">G7*Premissas!$C$24+Premissas!$C$43</f>
        <v>0</v>
      </c>
      <c r="I7" s="44" t="n">
        <f aca="false">G7-H7</f>
        <v>0</v>
      </c>
      <c r="J7" s="36" t="n">
        <f aca="false">I7+(D7+IF(B7&gt;12,INDEX($D$6:$D$29,B7-12)*(1-Premissas!$F$19)^12,0))*Premissas!$F$21*Premissas!$C$42-F7*Premissas!$F$21*Premissas!$C$42/12</f>
        <v>0</v>
      </c>
      <c r="K7" s="44" t="n">
        <f aca="false">IF(B7=1,Premissas!$C$7,N(K6))+J7</f>
        <v>0</v>
      </c>
      <c r="L7" s="56" t="str">
        <f aca="false">IF(I7&gt;0,B7,"")</f>
        <v/>
      </c>
      <c r="M7" s="2"/>
      <c r="N7" s="2"/>
      <c r="O7" s="2"/>
      <c r="P7" s="2"/>
      <c r="Q7" s="2"/>
      <c r="R7" s="2"/>
    </row>
    <row r="8" customFormat="false" ht="15" hidden="false" customHeight="true" outlineLevel="0" collapsed="false">
      <c r="A8" s="2"/>
      <c r="B8" s="46" t="n">
        <f aca="false">B7+1</f>
        <v>3</v>
      </c>
      <c r="C8" s="47" t="n">
        <f aca="false">EDATE(Premissas!$C$6,B8-1)</f>
        <v>46357</v>
      </c>
      <c r="D8" s="54" t="n">
        <f aca="false">Premissas!$F$17*(1+Premissas!$F$18)^(B8-1)</f>
        <v>0</v>
      </c>
      <c r="E8" s="54" t="n">
        <f aca="false">N(F7)*Premissas!$F$19</f>
        <v>0</v>
      </c>
      <c r="F8" s="55" t="n">
        <f aca="false">N(F7)-E8+D8</f>
        <v>0</v>
      </c>
      <c r="G8" s="36" t="n">
        <f aca="false">F8*Premissas!$C$40</f>
        <v>0</v>
      </c>
      <c r="H8" s="36" t="n">
        <f aca="false">G8*Premissas!$C$24+Premissas!$C$43</f>
        <v>0</v>
      </c>
      <c r="I8" s="44" t="n">
        <f aca="false">G8-H8</f>
        <v>0</v>
      </c>
      <c r="J8" s="36" t="n">
        <f aca="false">I8+(D8+IF(B8&gt;12,INDEX($D$6:$D$29,B8-12)*(1-Premissas!$F$19)^12,0))*Premissas!$F$21*Premissas!$C$42-F8*Premissas!$F$21*Premissas!$C$42/12</f>
        <v>0</v>
      </c>
      <c r="K8" s="44" t="n">
        <f aca="false">IF(B8=1,Premissas!$C$7,N(K7))+J8</f>
        <v>0</v>
      </c>
      <c r="L8" s="56" t="str">
        <f aca="false">IF(I8&gt;0,B8,"")</f>
        <v/>
      </c>
      <c r="M8" s="2"/>
      <c r="N8" s="2"/>
      <c r="O8" s="2"/>
      <c r="P8" s="2"/>
      <c r="Q8" s="2"/>
      <c r="R8" s="2"/>
    </row>
    <row r="9" customFormat="false" ht="15" hidden="false" customHeight="true" outlineLevel="0" collapsed="false">
      <c r="A9" s="2"/>
      <c r="B9" s="46" t="n">
        <f aca="false">B8+1</f>
        <v>4</v>
      </c>
      <c r="C9" s="47" t="n">
        <f aca="false">EDATE(Premissas!$C$6,B9-1)</f>
        <v>46388</v>
      </c>
      <c r="D9" s="54" t="n">
        <f aca="false">Premissas!$F$17*(1+Premissas!$F$18)^(B9-1)</f>
        <v>0</v>
      </c>
      <c r="E9" s="54" t="n">
        <f aca="false">N(F8)*Premissas!$F$19</f>
        <v>0</v>
      </c>
      <c r="F9" s="55" t="n">
        <f aca="false">N(F8)-E9+D9</f>
        <v>0</v>
      </c>
      <c r="G9" s="36" t="n">
        <f aca="false">F9*Premissas!$C$40</f>
        <v>0</v>
      </c>
      <c r="H9" s="36" t="n">
        <f aca="false">G9*Premissas!$C$24+Premissas!$C$43</f>
        <v>0</v>
      </c>
      <c r="I9" s="44" t="n">
        <f aca="false">G9-H9</f>
        <v>0</v>
      </c>
      <c r="J9" s="36" t="n">
        <f aca="false">I9+(D9+IF(B9&gt;12,INDEX($D$6:$D$29,B9-12)*(1-Premissas!$F$19)^12,0))*Premissas!$F$21*Premissas!$C$42-F9*Premissas!$F$21*Premissas!$C$42/12</f>
        <v>0</v>
      </c>
      <c r="K9" s="44" t="n">
        <f aca="false">IF(B9=1,Premissas!$C$7,N(K8))+J9</f>
        <v>0</v>
      </c>
      <c r="L9" s="56" t="str">
        <f aca="false">IF(I9&gt;0,B9,"")</f>
        <v/>
      </c>
      <c r="M9" s="2"/>
      <c r="N9" s="2"/>
      <c r="O9" s="2"/>
      <c r="P9" s="2"/>
      <c r="Q9" s="2"/>
      <c r="R9" s="2"/>
    </row>
    <row r="10" customFormat="false" ht="15" hidden="false" customHeight="true" outlineLevel="0" collapsed="false">
      <c r="A10" s="2"/>
      <c r="B10" s="46" t="n">
        <f aca="false">B9+1</f>
        <v>5</v>
      </c>
      <c r="C10" s="47" t="n">
        <f aca="false">EDATE(Premissas!$C$6,B10-1)</f>
        <v>46419</v>
      </c>
      <c r="D10" s="54" t="n">
        <f aca="false">Premissas!$F$17*(1+Premissas!$F$18)^(B10-1)</f>
        <v>0</v>
      </c>
      <c r="E10" s="54" t="n">
        <f aca="false">N(F9)*Premissas!$F$19</f>
        <v>0</v>
      </c>
      <c r="F10" s="55" t="n">
        <f aca="false">N(F9)-E10+D10</f>
        <v>0</v>
      </c>
      <c r="G10" s="36" t="n">
        <f aca="false">F10*Premissas!$C$40</f>
        <v>0</v>
      </c>
      <c r="H10" s="36" t="n">
        <f aca="false">G10*Premissas!$C$24+Premissas!$C$43</f>
        <v>0</v>
      </c>
      <c r="I10" s="44" t="n">
        <f aca="false">G10-H10</f>
        <v>0</v>
      </c>
      <c r="J10" s="36" t="n">
        <f aca="false">I10+(D10+IF(B10&gt;12,INDEX($D$6:$D$29,B10-12)*(1-Premissas!$F$19)^12,0))*Premissas!$F$21*Premissas!$C$42-F10*Premissas!$F$21*Premissas!$C$42/12</f>
        <v>0</v>
      </c>
      <c r="K10" s="44" t="n">
        <f aca="false">IF(B10=1,Premissas!$C$7,N(K9))+J10</f>
        <v>0</v>
      </c>
      <c r="L10" s="56" t="str">
        <f aca="false">IF(I10&gt;0,B10,"")</f>
        <v/>
      </c>
      <c r="M10" s="2"/>
      <c r="N10" s="2"/>
      <c r="O10" s="2"/>
      <c r="P10" s="2"/>
      <c r="Q10" s="2"/>
      <c r="R10" s="2"/>
    </row>
    <row r="11" customFormat="false" ht="15" hidden="false" customHeight="true" outlineLevel="0" collapsed="false">
      <c r="A11" s="2"/>
      <c r="B11" s="46" t="n">
        <f aca="false">B10+1</f>
        <v>6</v>
      </c>
      <c r="C11" s="47" t="n">
        <f aca="false">EDATE(Premissas!$C$6,B11-1)</f>
        <v>46447</v>
      </c>
      <c r="D11" s="54" t="n">
        <f aca="false">Premissas!$F$17*(1+Premissas!$F$18)^(B11-1)</f>
        <v>0</v>
      </c>
      <c r="E11" s="54" t="n">
        <f aca="false">N(F10)*Premissas!$F$19</f>
        <v>0</v>
      </c>
      <c r="F11" s="55" t="n">
        <f aca="false">N(F10)-E11+D11</f>
        <v>0</v>
      </c>
      <c r="G11" s="36" t="n">
        <f aca="false">F11*Premissas!$C$40</f>
        <v>0</v>
      </c>
      <c r="H11" s="36" t="n">
        <f aca="false">G11*Premissas!$C$24+Premissas!$C$43</f>
        <v>0</v>
      </c>
      <c r="I11" s="44" t="n">
        <f aca="false">G11-H11</f>
        <v>0</v>
      </c>
      <c r="J11" s="36" t="n">
        <f aca="false">I11+(D11+IF(B11&gt;12,INDEX($D$6:$D$29,B11-12)*(1-Premissas!$F$19)^12,0))*Premissas!$F$21*Premissas!$C$42-F11*Premissas!$F$21*Premissas!$C$42/12</f>
        <v>0</v>
      </c>
      <c r="K11" s="44" t="n">
        <f aca="false">IF(B11=1,Premissas!$C$7,N(K10))+J11</f>
        <v>0</v>
      </c>
      <c r="L11" s="56" t="str">
        <f aca="false">IF(I11&gt;0,B11,"")</f>
        <v/>
      </c>
      <c r="M11" s="2"/>
      <c r="N11" s="2"/>
      <c r="O11" s="2"/>
      <c r="P11" s="2"/>
      <c r="Q11" s="2"/>
      <c r="R11" s="2"/>
    </row>
    <row r="12" customFormat="false" ht="15" hidden="false" customHeight="true" outlineLevel="0" collapsed="false">
      <c r="A12" s="2"/>
      <c r="B12" s="46" t="n">
        <f aca="false">B11+1</f>
        <v>7</v>
      </c>
      <c r="C12" s="47" t="n">
        <f aca="false">EDATE(Premissas!$C$6,B12-1)</f>
        <v>46478</v>
      </c>
      <c r="D12" s="54" t="n">
        <f aca="false">Premissas!$F$17*(1+Premissas!$F$18)^(B12-1)</f>
        <v>0</v>
      </c>
      <c r="E12" s="54" t="n">
        <f aca="false">N(F11)*Premissas!$F$19</f>
        <v>0</v>
      </c>
      <c r="F12" s="55" t="n">
        <f aca="false">N(F11)-E12+D12</f>
        <v>0</v>
      </c>
      <c r="G12" s="36" t="n">
        <f aca="false">F12*Premissas!$C$40</f>
        <v>0</v>
      </c>
      <c r="H12" s="36" t="n">
        <f aca="false">G12*Premissas!$C$24+Premissas!$C$43</f>
        <v>0</v>
      </c>
      <c r="I12" s="44" t="n">
        <f aca="false">G12-H12</f>
        <v>0</v>
      </c>
      <c r="J12" s="36" t="n">
        <f aca="false">I12+(D12+IF(B12&gt;12,INDEX($D$6:$D$29,B12-12)*(1-Premissas!$F$19)^12,0))*Premissas!$F$21*Premissas!$C$42-F12*Premissas!$F$21*Premissas!$C$42/12</f>
        <v>0</v>
      </c>
      <c r="K12" s="44" t="n">
        <f aca="false">IF(B12=1,Premissas!$C$7,N(K11))+J12</f>
        <v>0</v>
      </c>
      <c r="L12" s="56" t="str">
        <f aca="false">IF(I12&gt;0,B12,"")</f>
        <v/>
      </c>
      <c r="M12" s="2"/>
      <c r="N12" s="2"/>
      <c r="O12" s="2"/>
      <c r="P12" s="2"/>
      <c r="Q12" s="2"/>
      <c r="R12" s="2"/>
    </row>
    <row r="13" customFormat="false" ht="15" hidden="false" customHeight="true" outlineLevel="0" collapsed="false">
      <c r="A13" s="2"/>
      <c r="B13" s="46" t="n">
        <f aca="false">B12+1</f>
        <v>8</v>
      </c>
      <c r="C13" s="47" t="n">
        <f aca="false">EDATE(Premissas!$C$6,B13-1)</f>
        <v>46508</v>
      </c>
      <c r="D13" s="54" t="n">
        <f aca="false">Premissas!$F$17*(1+Premissas!$F$18)^(B13-1)</f>
        <v>0</v>
      </c>
      <c r="E13" s="54" t="n">
        <f aca="false">N(F12)*Premissas!$F$19</f>
        <v>0</v>
      </c>
      <c r="F13" s="55" t="n">
        <f aca="false">N(F12)-E13+D13</f>
        <v>0</v>
      </c>
      <c r="G13" s="36" t="n">
        <f aca="false">F13*Premissas!$C$40</f>
        <v>0</v>
      </c>
      <c r="H13" s="36" t="n">
        <f aca="false">G13*Premissas!$C$24+Premissas!$C$43</f>
        <v>0</v>
      </c>
      <c r="I13" s="44" t="n">
        <f aca="false">G13-H13</f>
        <v>0</v>
      </c>
      <c r="J13" s="36" t="n">
        <f aca="false">I13+(D13+IF(B13&gt;12,INDEX($D$6:$D$29,B13-12)*(1-Premissas!$F$19)^12,0))*Premissas!$F$21*Premissas!$C$42-F13*Premissas!$F$21*Premissas!$C$42/12</f>
        <v>0</v>
      </c>
      <c r="K13" s="44" t="n">
        <f aca="false">IF(B13=1,Premissas!$C$7,N(K12))+J13</f>
        <v>0</v>
      </c>
      <c r="L13" s="56" t="str">
        <f aca="false">IF(I13&gt;0,B13,"")</f>
        <v/>
      </c>
      <c r="M13" s="2"/>
      <c r="N13" s="2"/>
      <c r="O13" s="2"/>
      <c r="P13" s="2"/>
      <c r="Q13" s="2"/>
      <c r="R13" s="2"/>
    </row>
    <row r="14" customFormat="false" ht="15" hidden="false" customHeight="true" outlineLevel="0" collapsed="false">
      <c r="A14" s="2"/>
      <c r="B14" s="46" t="n">
        <f aca="false">B13+1</f>
        <v>9</v>
      </c>
      <c r="C14" s="47" t="n">
        <f aca="false">EDATE(Premissas!$C$6,B14-1)</f>
        <v>46539</v>
      </c>
      <c r="D14" s="54" t="n">
        <f aca="false">Premissas!$F$17*(1+Premissas!$F$18)^(B14-1)</f>
        <v>0</v>
      </c>
      <c r="E14" s="54" t="n">
        <f aca="false">N(F13)*Premissas!$F$19</f>
        <v>0</v>
      </c>
      <c r="F14" s="55" t="n">
        <f aca="false">N(F13)-E14+D14</f>
        <v>0</v>
      </c>
      <c r="G14" s="36" t="n">
        <f aca="false">F14*Premissas!$C$40</f>
        <v>0</v>
      </c>
      <c r="H14" s="36" t="n">
        <f aca="false">G14*Premissas!$C$24+Premissas!$C$43</f>
        <v>0</v>
      </c>
      <c r="I14" s="44" t="n">
        <f aca="false">G14-H14</f>
        <v>0</v>
      </c>
      <c r="J14" s="36" t="n">
        <f aca="false">I14+(D14+IF(B14&gt;12,INDEX($D$6:$D$29,B14-12)*(1-Premissas!$F$19)^12,0))*Premissas!$F$21*Premissas!$C$42-F14*Premissas!$F$21*Premissas!$C$42/12</f>
        <v>0</v>
      </c>
      <c r="K14" s="44" t="n">
        <f aca="false">IF(B14=1,Premissas!$C$7,N(K13))+J14</f>
        <v>0</v>
      </c>
      <c r="L14" s="56" t="str">
        <f aca="false">IF(I14&gt;0,B14,"")</f>
        <v/>
      </c>
      <c r="M14" s="2"/>
      <c r="N14" s="2"/>
      <c r="O14" s="2"/>
      <c r="P14" s="2"/>
      <c r="Q14" s="2"/>
      <c r="R14" s="2"/>
    </row>
    <row r="15" customFormat="false" ht="15" hidden="false" customHeight="true" outlineLevel="0" collapsed="false">
      <c r="A15" s="2"/>
      <c r="B15" s="46" t="n">
        <f aca="false">B14+1</f>
        <v>10</v>
      </c>
      <c r="C15" s="47" t="n">
        <f aca="false">EDATE(Premissas!$C$6,B15-1)</f>
        <v>46569</v>
      </c>
      <c r="D15" s="54" t="n">
        <f aca="false">Premissas!$F$17*(1+Premissas!$F$18)^(B15-1)</f>
        <v>0</v>
      </c>
      <c r="E15" s="54" t="n">
        <f aca="false">N(F14)*Premissas!$F$19</f>
        <v>0</v>
      </c>
      <c r="F15" s="55" t="n">
        <f aca="false">N(F14)-E15+D15</f>
        <v>0</v>
      </c>
      <c r="G15" s="36" t="n">
        <f aca="false">F15*Premissas!$C$40</f>
        <v>0</v>
      </c>
      <c r="H15" s="36" t="n">
        <f aca="false">G15*Premissas!$C$24+Premissas!$C$43</f>
        <v>0</v>
      </c>
      <c r="I15" s="44" t="n">
        <f aca="false">G15-H15</f>
        <v>0</v>
      </c>
      <c r="J15" s="36" t="n">
        <f aca="false">I15+(D15+IF(B15&gt;12,INDEX($D$6:$D$29,B15-12)*(1-Premissas!$F$19)^12,0))*Premissas!$F$21*Premissas!$C$42-F15*Premissas!$F$21*Premissas!$C$42/12</f>
        <v>0</v>
      </c>
      <c r="K15" s="44" t="n">
        <f aca="false">IF(B15=1,Premissas!$C$7,N(K14))+J15</f>
        <v>0</v>
      </c>
      <c r="L15" s="56" t="str">
        <f aca="false">IF(I15&gt;0,B15,"")</f>
        <v/>
      </c>
      <c r="M15" s="2"/>
      <c r="N15" s="2"/>
      <c r="O15" s="2"/>
      <c r="P15" s="2"/>
      <c r="Q15" s="2"/>
      <c r="R15" s="2"/>
    </row>
    <row r="16" customFormat="false" ht="15" hidden="false" customHeight="true" outlineLevel="0" collapsed="false">
      <c r="A16" s="2"/>
      <c r="B16" s="46" t="n">
        <f aca="false">B15+1</f>
        <v>11</v>
      </c>
      <c r="C16" s="47" t="n">
        <f aca="false">EDATE(Premissas!$C$6,B16-1)</f>
        <v>46600</v>
      </c>
      <c r="D16" s="54" t="n">
        <f aca="false">Premissas!$F$17*(1+Premissas!$F$18)^(B16-1)</f>
        <v>0</v>
      </c>
      <c r="E16" s="54" t="n">
        <f aca="false">N(F15)*Premissas!$F$19</f>
        <v>0</v>
      </c>
      <c r="F16" s="55" t="n">
        <f aca="false">N(F15)-E16+D16</f>
        <v>0</v>
      </c>
      <c r="G16" s="36" t="n">
        <f aca="false">F16*Premissas!$C$40</f>
        <v>0</v>
      </c>
      <c r="H16" s="36" t="n">
        <f aca="false">G16*Premissas!$C$24+Premissas!$C$43</f>
        <v>0</v>
      </c>
      <c r="I16" s="44" t="n">
        <f aca="false">G16-H16</f>
        <v>0</v>
      </c>
      <c r="J16" s="36" t="n">
        <f aca="false">I16+(D16+IF(B16&gt;12,INDEX($D$6:$D$29,B16-12)*(1-Premissas!$F$19)^12,0))*Premissas!$F$21*Premissas!$C$42-F16*Premissas!$F$21*Premissas!$C$42/12</f>
        <v>0</v>
      </c>
      <c r="K16" s="44" t="n">
        <f aca="false">IF(B16=1,Premissas!$C$7,N(K15))+J16</f>
        <v>0</v>
      </c>
      <c r="L16" s="56" t="str">
        <f aca="false">IF(I16&gt;0,B16,"")</f>
        <v/>
      </c>
      <c r="M16" s="2"/>
      <c r="N16" s="2"/>
      <c r="O16" s="2"/>
      <c r="P16" s="2"/>
      <c r="Q16" s="2"/>
      <c r="R16" s="2"/>
    </row>
    <row r="17" customFormat="false" ht="15" hidden="false" customHeight="true" outlineLevel="0" collapsed="false">
      <c r="A17" s="2"/>
      <c r="B17" s="46" t="n">
        <f aca="false">B16+1</f>
        <v>12</v>
      </c>
      <c r="C17" s="47" t="n">
        <f aca="false">EDATE(Premissas!$C$6,B17-1)</f>
        <v>46631</v>
      </c>
      <c r="D17" s="54" t="n">
        <f aca="false">Premissas!$F$17*(1+Premissas!$F$18)^(B17-1)</f>
        <v>0</v>
      </c>
      <c r="E17" s="54" t="n">
        <f aca="false">N(F16)*Premissas!$F$19</f>
        <v>0</v>
      </c>
      <c r="F17" s="55" t="n">
        <f aca="false">N(F16)-E17+D17</f>
        <v>0</v>
      </c>
      <c r="G17" s="36" t="n">
        <f aca="false">F17*Premissas!$C$40</f>
        <v>0</v>
      </c>
      <c r="H17" s="36" t="n">
        <f aca="false">G17*Premissas!$C$24+Premissas!$C$43</f>
        <v>0</v>
      </c>
      <c r="I17" s="44" t="n">
        <f aca="false">G17-H17</f>
        <v>0</v>
      </c>
      <c r="J17" s="36" t="n">
        <f aca="false">I17+(D17+IF(B17&gt;12,INDEX($D$6:$D$29,B17-12)*(1-Premissas!$F$19)^12,0))*Premissas!$F$21*Premissas!$C$42-F17*Premissas!$F$21*Premissas!$C$42/12</f>
        <v>0</v>
      </c>
      <c r="K17" s="44" t="n">
        <f aca="false">IF(B17=1,Premissas!$C$7,N(K16))+J17</f>
        <v>0</v>
      </c>
      <c r="L17" s="56" t="str">
        <f aca="false">IF(I17&gt;0,B17,"")</f>
        <v/>
      </c>
      <c r="M17" s="2"/>
      <c r="N17" s="2"/>
      <c r="O17" s="2"/>
      <c r="P17" s="2"/>
      <c r="Q17" s="2"/>
      <c r="R17" s="2"/>
    </row>
    <row r="18" customFormat="false" ht="15" hidden="false" customHeight="true" outlineLevel="0" collapsed="false">
      <c r="A18" s="2"/>
      <c r="B18" s="46" t="n">
        <f aca="false">B17+1</f>
        <v>13</v>
      </c>
      <c r="C18" s="47" t="n">
        <f aca="false">EDATE(Premissas!$C$6,B18-1)</f>
        <v>46661</v>
      </c>
      <c r="D18" s="54" t="n">
        <f aca="false">Premissas!$F$17*(1+Premissas!$F$18)^(B18-1)</f>
        <v>0</v>
      </c>
      <c r="E18" s="54" t="n">
        <f aca="false">N(F17)*Premissas!$F$19</f>
        <v>0</v>
      </c>
      <c r="F18" s="55" t="n">
        <f aca="false">N(F17)-E18+D18</f>
        <v>0</v>
      </c>
      <c r="G18" s="36" t="n">
        <f aca="false">F18*Premissas!$C$40</f>
        <v>0</v>
      </c>
      <c r="H18" s="36" t="n">
        <f aca="false">G18*Premissas!$C$24+Premissas!$C$43</f>
        <v>0</v>
      </c>
      <c r="I18" s="44" t="n">
        <f aca="false">G18-H18</f>
        <v>0</v>
      </c>
      <c r="J18" s="36" t="n">
        <f aca="false">I18+(D18+IF(B18&gt;12,INDEX($D$6:$D$29,B18-12)*(1-Premissas!$F$19)^12,0))*Premissas!$F$21*Premissas!$C$42-F18*Premissas!$F$21*Premissas!$C$42/12</f>
        <v>0</v>
      </c>
      <c r="K18" s="44" t="n">
        <f aca="false">IF(B18=1,Premissas!$C$7,N(K17))+J18</f>
        <v>0</v>
      </c>
      <c r="L18" s="56" t="str">
        <f aca="false">IF(I18&gt;0,B18,"")</f>
        <v/>
      </c>
      <c r="M18" s="2"/>
      <c r="N18" s="2"/>
      <c r="O18" s="2"/>
      <c r="P18" s="2"/>
      <c r="Q18" s="2"/>
      <c r="R18" s="2"/>
    </row>
    <row r="19" customFormat="false" ht="15" hidden="false" customHeight="true" outlineLevel="0" collapsed="false">
      <c r="A19" s="2"/>
      <c r="B19" s="46" t="n">
        <f aca="false">B18+1</f>
        <v>14</v>
      </c>
      <c r="C19" s="47" t="n">
        <f aca="false">EDATE(Premissas!$C$6,B19-1)</f>
        <v>46692</v>
      </c>
      <c r="D19" s="54" t="n">
        <f aca="false">Premissas!$F$17*(1+Premissas!$F$18)^(B19-1)</f>
        <v>0</v>
      </c>
      <c r="E19" s="54" t="n">
        <f aca="false">N(F18)*Premissas!$F$19</f>
        <v>0</v>
      </c>
      <c r="F19" s="55" t="n">
        <f aca="false">N(F18)-E19+D19</f>
        <v>0</v>
      </c>
      <c r="G19" s="36" t="n">
        <f aca="false">F19*Premissas!$C$40</f>
        <v>0</v>
      </c>
      <c r="H19" s="36" t="n">
        <f aca="false">G19*Premissas!$C$24+Premissas!$C$43</f>
        <v>0</v>
      </c>
      <c r="I19" s="44" t="n">
        <f aca="false">G19-H19</f>
        <v>0</v>
      </c>
      <c r="J19" s="36" t="n">
        <f aca="false">I19+(D19+IF(B19&gt;12,INDEX($D$6:$D$29,B19-12)*(1-Premissas!$F$19)^12,0))*Premissas!$F$21*Premissas!$C$42-F19*Premissas!$F$21*Premissas!$C$42/12</f>
        <v>0</v>
      </c>
      <c r="K19" s="44" t="n">
        <f aca="false">IF(B19=1,Premissas!$C$7,N(K18))+J19</f>
        <v>0</v>
      </c>
      <c r="L19" s="56" t="str">
        <f aca="false">IF(I19&gt;0,B19,"")</f>
        <v/>
      </c>
      <c r="M19" s="2"/>
      <c r="N19" s="2"/>
      <c r="O19" s="2"/>
      <c r="P19" s="2"/>
      <c r="Q19" s="2"/>
      <c r="R19" s="2"/>
    </row>
    <row r="20" customFormat="false" ht="15" hidden="false" customHeight="true" outlineLevel="0" collapsed="false">
      <c r="A20" s="2"/>
      <c r="B20" s="46" t="n">
        <f aca="false">B19+1</f>
        <v>15</v>
      </c>
      <c r="C20" s="47" t="n">
        <f aca="false">EDATE(Premissas!$C$6,B20-1)</f>
        <v>46722</v>
      </c>
      <c r="D20" s="54" t="n">
        <f aca="false">Premissas!$F$17*(1+Premissas!$F$18)^(B20-1)</f>
        <v>0</v>
      </c>
      <c r="E20" s="54" t="n">
        <f aca="false">N(F19)*Premissas!$F$19</f>
        <v>0</v>
      </c>
      <c r="F20" s="55" t="n">
        <f aca="false">N(F19)-E20+D20</f>
        <v>0</v>
      </c>
      <c r="G20" s="36" t="n">
        <f aca="false">F20*Premissas!$C$40</f>
        <v>0</v>
      </c>
      <c r="H20" s="36" t="n">
        <f aca="false">G20*Premissas!$C$24+Premissas!$C$43</f>
        <v>0</v>
      </c>
      <c r="I20" s="44" t="n">
        <f aca="false">G20-H20</f>
        <v>0</v>
      </c>
      <c r="J20" s="36" t="n">
        <f aca="false">I20+(D20+IF(B20&gt;12,INDEX($D$6:$D$29,B20-12)*(1-Premissas!$F$19)^12,0))*Premissas!$F$21*Premissas!$C$42-F20*Premissas!$F$21*Premissas!$C$42/12</f>
        <v>0</v>
      </c>
      <c r="K20" s="44" t="n">
        <f aca="false">IF(B20=1,Premissas!$C$7,N(K19))+J20</f>
        <v>0</v>
      </c>
      <c r="L20" s="56" t="str">
        <f aca="false">IF(I20&gt;0,B20,"")</f>
        <v/>
      </c>
      <c r="M20" s="2"/>
      <c r="N20" s="2"/>
      <c r="O20" s="2"/>
      <c r="P20" s="2"/>
      <c r="Q20" s="2"/>
      <c r="R20" s="2"/>
    </row>
    <row r="21" customFormat="false" ht="15" hidden="false" customHeight="true" outlineLevel="0" collapsed="false">
      <c r="A21" s="2"/>
      <c r="B21" s="46" t="n">
        <f aca="false">B20+1</f>
        <v>16</v>
      </c>
      <c r="C21" s="47" t="n">
        <f aca="false">EDATE(Premissas!$C$6,B21-1)</f>
        <v>46753</v>
      </c>
      <c r="D21" s="54" t="n">
        <f aca="false">Premissas!$F$17*(1+Premissas!$F$18)^(B21-1)</f>
        <v>0</v>
      </c>
      <c r="E21" s="54" t="n">
        <f aca="false">N(F20)*Premissas!$F$19</f>
        <v>0</v>
      </c>
      <c r="F21" s="55" t="n">
        <f aca="false">N(F20)-E21+D21</f>
        <v>0</v>
      </c>
      <c r="G21" s="36" t="n">
        <f aca="false">F21*Premissas!$C$40</f>
        <v>0</v>
      </c>
      <c r="H21" s="36" t="n">
        <f aca="false">G21*Premissas!$C$24+Premissas!$C$43</f>
        <v>0</v>
      </c>
      <c r="I21" s="44" t="n">
        <f aca="false">G21-H21</f>
        <v>0</v>
      </c>
      <c r="J21" s="36" t="n">
        <f aca="false">I21+(D21+IF(B21&gt;12,INDEX($D$6:$D$29,B21-12)*(1-Premissas!$F$19)^12,0))*Premissas!$F$21*Premissas!$C$42-F21*Premissas!$F$21*Premissas!$C$42/12</f>
        <v>0</v>
      </c>
      <c r="K21" s="44" t="n">
        <f aca="false">IF(B21=1,Premissas!$C$7,N(K20))+J21</f>
        <v>0</v>
      </c>
      <c r="L21" s="56" t="str">
        <f aca="false">IF(I21&gt;0,B21,"")</f>
        <v/>
      </c>
      <c r="M21" s="2"/>
      <c r="N21" s="2"/>
      <c r="O21" s="2"/>
      <c r="P21" s="2"/>
      <c r="Q21" s="2"/>
      <c r="R21" s="2"/>
    </row>
    <row r="22" customFormat="false" ht="15" hidden="false" customHeight="true" outlineLevel="0" collapsed="false">
      <c r="A22" s="2"/>
      <c r="B22" s="46" t="n">
        <f aca="false">B21+1</f>
        <v>17</v>
      </c>
      <c r="C22" s="47" t="n">
        <f aca="false">EDATE(Premissas!$C$6,B22-1)</f>
        <v>46784</v>
      </c>
      <c r="D22" s="54" t="n">
        <f aca="false">Premissas!$F$17*(1+Premissas!$F$18)^(B22-1)</f>
        <v>0</v>
      </c>
      <c r="E22" s="54" t="n">
        <f aca="false">N(F21)*Premissas!$F$19</f>
        <v>0</v>
      </c>
      <c r="F22" s="55" t="n">
        <f aca="false">N(F21)-E22+D22</f>
        <v>0</v>
      </c>
      <c r="G22" s="36" t="n">
        <f aca="false">F22*Premissas!$C$40</f>
        <v>0</v>
      </c>
      <c r="H22" s="36" t="n">
        <f aca="false">G22*Premissas!$C$24+Premissas!$C$43</f>
        <v>0</v>
      </c>
      <c r="I22" s="44" t="n">
        <f aca="false">G22-H22</f>
        <v>0</v>
      </c>
      <c r="J22" s="36" t="n">
        <f aca="false">I22+(D22+IF(B22&gt;12,INDEX($D$6:$D$29,B22-12)*(1-Premissas!$F$19)^12,0))*Premissas!$F$21*Premissas!$C$42-F22*Premissas!$F$21*Premissas!$C$42/12</f>
        <v>0</v>
      </c>
      <c r="K22" s="44" t="n">
        <f aca="false">IF(B22=1,Premissas!$C$7,N(K21))+J22</f>
        <v>0</v>
      </c>
      <c r="L22" s="56" t="str">
        <f aca="false">IF(I22&gt;0,B22,"")</f>
        <v/>
      </c>
      <c r="M22" s="2"/>
      <c r="N22" s="2"/>
      <c r="O22" s="2"/>
      <c r="P22" s="2"/>
      <c r="Q22" s="2"/>
      <c r="R22" s="2"/>
    </row>
    <row r="23" customFormat="false" ht="15" hidden="false" customHeight="true" outlineLevel="0" collapsed="false">
      <c r="A23" s="2"/>
      <c r="B23" s="46" t="n">
        <f aca="false">B22+1</f>
        <v>18</v>
      </c>
      <c r="C23" s="47" t="n">
        <f aca="false">EDATE(Premissas!$C$6,B23-1)</f>
        <v>46813</v>
      </c>
      <c r="D23" s="54" t="n">
        <f aca="false">Premissas!$F$17*(1+Premissas!$F$18)^(B23-1)</f>
        <v>0</v>
      </c>
      <c r="E23" s="54" t="n">
        <f aca="false">N(F22)*Premissas!$F$19</f>
        <v>0</v>
      </c>
      <c r="F23" s="55" t="n">
        <f aca="false">N(F22)-E23+D23</f>
        <v>0</v>
      </c>
      <c r="G23" s="36" t="n">
        <f aca="false">F23*Premissas!$C$40</f>
        <v>0</v>
      </c>
      <c r="H23" s="36" t="n">
        <f aca="false">G23*Premissas!$C$24+Premissas!$C$43</f>
        <v>0</v>
      </c>
      <c r="I23" s="44" t="n">
        <f aca="false">G23-H23</f>
        <v>0</v>
      </c>
      <c r="J23" s="36" t="n">
        <f aca="false">I23+(D23+IF(B23&gt;12,INDEX($D$6:$D$29,B23-12)*(1-Premissas!$F$19)^12,0))*Premissas!$F$21*Premissas!$C$42-F23*Premissas!$F$21*Premissas!$C$42/12</f>
        <v>0</v>
      </c>
      <c r="K23" s="44" t="n">
        <f aca="false">IF(B23=1,Premissas!$C$7,N(K22))+J23</f>
        <v>0</v>
      </c>
      <c r="L23" s="56" t="str">
        <f aca="false">IF(I23&gt;0,B23,"")</f>
        <v/>
      </c>
      <c r="M23" s="2"/>
      <c r="N23" s="2"/>
      <c r="O23" s="2"/>
      <c r="P23" s="2"/>
      <c r="Q23" s="2"/>
      <c r="R23" s="2"/>
    </row>
    <row r="24" customFormat="false" ht="15" hidden="false" customHeight="true" outlineLevel="0" collapsed="false">
      <c r="A24" s="2"/>
      <c r="B24" s="46" t="n">
        <f aca="false">B23+1</f>
        <v>19</v>
      </c>
      <c r="C24" s="47" t="n">
        <f aca="false">EDATE(Premissas!$C$6,B24-1)</f>
        <v>46844</v>
      </c>
      <c r="D24" s="54" t="n">
        <f aca="false">Premissas!$F$17*(1+Premissas!$F$18)^(B24-1)</f>
        <v>0</v>
      </c>
      <c r="E24" s="54" t="n">
        <f aca="false">N(F23)*Premissas!$F$19</f>
        <v>0</v>
      </c>
      <c r="F24" s="55" t="n">
        <f aca="false">N(F23)-E24+D24</f>
        <v>0</v>
      </c>
      <c r="G24" s="36" t="n">
        <f aca="false">F24*Premissas!$C$40</f>
        <v>0</v>
      </c>
      <c r="H24" s="36" t="n">
        <f aca="false">G24*Premissas!$C$24+Premissas!$C$43</f>
        <v>0</v>
      </c>
      <c r="I24" s="44" t="n">
        <f aca="false">G24-H24</f>
        <v>0</v>
      </c>
      <c r="J24" s="36" t="n">
        <f aca="false">I24+(D24+IF(B24&gt;12,INDEX($D$6:$D$29,B24-12)*(1-Premissas!$F$19)^12,0))*Premissas!$F$21*Premissas!$C$42-F24*Premissas!$F$21*Premissas!$C$42/12</f>
        <v>0</v>
      </c>
      <c r="K24" s="44" t="n">
        <f aca="false">IF(B24=1,Premissas!$C$7,N(K23))+J24</f>
        <v>0</v>
      </c>
      <c r="L24" s="56" t="str">
        <f aca="false">IF(I24&gt;0,B24,"")</f>
        <v/>
      </c>
      <c r="M24" s="2"/>
      <c r="N24" s="2"/>
      <c r="O24" s="2"/>
      <c r="P24" s="2"/>
      <c r="Q24" s="2"/>
      <c r="R24" s="2"/>
    </row>
    <row r="25" customFormat="false" ht="15" hidden="false" customHeight="true" outlineLevel="0" collapsed="false">
      <c r="A25" s="2"/>
      <c r="B25" s="46" t="n">
        <f aca="false">B24+1</f>
        <v>20</v>
      </c>
      <c r="C25" s="47" t="n">
        <f aca="false">EDATE(Premissas!$C$6,B25-1)</f>
        <v>46874</v>
      </c>
      <c r="D25" s="54" t="n">
        <f aca="false">Premissas!$F$17*(1+Premissas!$F$18)^(B25-1)</f>
        <v>0</v>
      </c>
      <c r="E25" s="54" t="n">
        <f aca="false">N(F24)*Premissas!$F$19</f>
        <v>0</v>
      </c>
      <c r="F25" s="55" t="n">
        <f aca="false">N(F24)-E25+D25</f>
        <v>0</v>
      </c>
      <c r="G25" s="36" t="n">
        <f aca="false">F25*Premissas!$C$40</f>
        <v>0</v>
      </c>
      <c r="H25" s="36" t="n">
        <f aca="false">G25*Premissas!$C$24+Premissas!$C$43</f>
        <v>0</v>
      </c>
      <c r="I25" s="44" t="n">
        <f aca="false">G25-H25</f>
        <v>0</v>
      </c>
      <c r="J25" s="36" t="n">
        <f aca="false">I25+(D25+IF(B25&gt;12,INDEX($D$6:$D$29,B25-12)*(1-Premissas!$F$19)^12,0))*Premissas!$F$21*Premissas!$C$42-F25*Premissas!$F$21*Premissas!$C$42/12</f>
        <v>0</v>
      </c>
      <c r="K25" s="44" t="n">
        <f aca="false">IF(B25=1,Premissas!$C$7,N(K24))+J25</f>
        <v>0</v>
      </c>
      <c r="L25" s="56" t="str">
        <f aca="false">IF(I25&gt;0,B25,"")</f>
        <v/>
      </c>
      <c r="M25" s="2"/>
      <c r="N25" s="2"/>
      <c r="O25" s="2"/>
      <c r="P25" s="2"/>
      <c r="Q25" s="2"/>
      <c r="R25" s="2"/>
    </row>
    <row r="26" customFormat="false" ht="15" hidden="false" customHeight="true" outlineLevel="0" collapsed="false">
      <c r="A26" s="2"/>
      <c r="B26" s="46" t="n">
        <f aca="false">B25+1</f>
        <v>21</v>
      </c>
      <c r="C26" s="47" t="n">
        <f aca="false">EDATE(Premissas!$C$6,B26-1)</f>
        <v>46905</v>
      </c>
      <c r="D26" s="54" t="n">
        <f aca="false">Premissas!$F$17*(1+Premissas!$F$18)^(B26-1)</f>
        <v>0</v>
      </c>
      <c r="E26" s="54" t="n">
        <f aca="false">N(F25)*Premissas!$F$19</f>
        <v>0</v>
      </c>
      <c r="F26" s="55" t="n">
        <f aca="false">N(F25)-E26+D26</f>
        <v>0</v>
      </c>
      <c r="G26" s="36" t="n">
        <f aca="false">F26*Premissas!$C$40</f>
        <v>0</v>
      </c>
      <c r="H26" s="36" t="n">
        <f aca="false">G26*Premissas!$C$24+Premissas!$C$43</f>
        <v>0</v>
      </c>
      <c r="I26" s="44" t="n">
        <f aca="false">G26-H26</f>
        <v>0</v>
      </c>
      <c r="J26" s="36" t="n">
        <f aca="false">I26+(D26+IF(B26&gt;12,INDEX($D$6:$D$29,B26-12)*(1-Premissas!$F$19)^12,0))*Premissas!$F$21*Premissas!$C$42-F26*Premissas!$F$21*Premissas!$C$42/12</f>
        <v>0</v>
      </c>
      <c r="K26" s="44" t="n">
        <f aca="false">IF(B26=1,Premissas!$C$7,N(K25))+J26</f>
        <v>0</v>
      </c>
      <c r="L26" s="56" t="str">
        <f aca="false">IF(I26&gt;0,B26,"")</f>
        <v/>
      </c>
      <c r="M26" s="2"/>
      <c r="N26" s="2"/>
      <c r="O26" s="2"/>
      <c r="P26" s="2"/>
      <c r="Q26" s="2"/>
      <c r="R26" s="2"/>
    </row>
    <row r="27" customFormat="false" ht="15" hidden="false" customHeight="true" outlineLevel="0" collapsed="false">
      <c r="A27" s="2"/>
      <c r="B27" s="46" t="n">
        <f aca="false">B26+1</f>
        <v>22</v>
      </c>
      <c r="C27" s="47" t="n">
        <f aca="false">EDATE(Premissas!$C$6,B27-1)</f>
        <v>46935</v>
      </c>
      <c r="D27" s="54" t="n">
        <f aca="false">Premissas!$F$17*(1+Premissas!$F$18)^(B27-1)</f>
        <v>0</v>
      </c>
      <c r="E27" s="54" t="n">
        <f aca="false">N(F26)*Premissas!$F$19</f>
        <v>0</v>
      </c>
      <c r="F27" s="55" t="n">
        <f aca="false">N(F26)-E27+D27</f>
        <v>0</v>
      </c>
      <c r="G27" s="36" t="n">
        <f aca="false">F27*Premissas!$C$40</f>
        <v>0</v>
      </c>
      <c r="H27" s="36" t="n">
        <f aca="false">G27*Premissas!$C$24+Premissas!$C$43</f>
        <v>0</v>
      </c>
      <c r="I27" s="44" t="n">
        <f aca="false">G27-H27</f>
        <v>0</v>
      </c>
      <c r="J27" s="36" t="n">
        <f aca="false">I27+(D27+IF(B27&gt;12,INDEX($D$6:$D$29,B27-12)*(1-Premissas!$F$19)^12,0))*Premissas!$F$21*Premissas!$C$42-F27*Premissas!$F$21*Premissas!$C$42/12</f>
        <v>0</v>
      </c>
      <c r="K27" s="44" t="n">
        <f aca="false">IF(B27=1,Premissas!$C$7,N(K26))+J27</f>
        <v>0</v>
      </c>
      <c r="L27" s="56" t="str">
        <f aca="false">IF(I27&gt;0,B27,"")</f>
        <v/>
      </c>
      <c r="M27" s="2"/>
      <c r="N27" s="2"/>
      <c r="O27" s="2"/>
      <c r="P27" s="2"/>
      <c r="Q27" s="2"/>
      <c r="R27" s="2"/>
    </row>
    <row r="28" customFormat="false" ht="15" hidden="false" customHeight="true" outlineLevel="0" collapsed="false">
      <c r="A28" s="2"/>
      <c r="B28" s="46" t="n">
        <f aca="false">B27+1</f>
        <v>23</v>
      </c>
      <c r="C28" s="47" t="n">
        <f aca="false">EDATE(Premissas!$C$6,B28-1)</f>
        <v>46966</v>
      </c>
      <c r="D28" s="54" t="n">
        <f aca="false">Premissas!$F$17*(1+Premissas!$F$18)^(B28-1)</f>
        <v>0</v>
      </c>
      <c r="E28" s="54" t="n">
        <f aca="false">N(F27)*Premissas!$F$19</f>
        <v>0</v>
      </c>
      <c r="F28" s="55" t="n">
        <f aca="false">N(F27)-E28+D28</f>
        <v>0</v>
      </c>
      <c r="G28" s="36" t="n">
        <f aca="false">F28*Premissas!$C$40</f>
        <v>0</v>
      </c>
      <c r="H28" s="36" t="n">
        <f aca="false">G28*Premissas!$C$24+Premissas!$C$43</f>
        <v>0</v>
      </c>
      <c r="I28" s="44" t="n">
        <f aca="false">G28-H28</f>
        <v>0</v>
      </c>
      <c r="J28" s="36" t="n">
        <f aca="false">I28+(D28+IF(B28&gt;12,INDEX($D$6:$D$29,B28-12)*(1-Premissas!$F$19)^12,0))*Premissas!$F$21*Premissas!$C$42-F28*Premissas!$F$21*Premissas!$C$42/12</f>
        <v>0</v>
      </c>
      <c r="K28" s="44" t="n">
        <f aca="false">IF(B28=1,Premissas!$C$7,N(K27))+J28</f>
        <v>0</v>
      </c>
      <c r="L28" s="56" t="str">
        <f aca="false">IF(I28&gt;0,B28,"")</f>
        <v/>
      </c>
      <c r="M28" s="2"/>
      <c r="N28" s="2"/>
      <c r="O28" s="2"/>
      <c r="P28" s="2"/>
      <c r="Q28" s="2"/>
      <c r="R28" s="2"/>
    </row>
    <row r="29" customFormat="false" ht="15" hidden="false" customHeight="true" outlineLevel="0" collapsed="false">
      <c r="A29" s="2"/>
      <c r="B29" s="46" t="n">
        <f aca="false">B28+1</f>
        <v>24</v>
      </c>
      <c r="C29" s="47" t="n">
        <f aca="false">EDATE(Premissas!$C$6,B29-1)</f>
        <v>46997</v>
      </c>
      <c r="D29" s="54" t="n">
        <f aca="false">Premissas!$F$17*(1+Premissas!$F$18)^(B29-1)</f>
        <v>0</v>
      </c>
      <c r="E29" s="54" t="n">
        <f aca="false">N(F28)*Premissas!$F$19</f>
        <v>0</v>
      </c>
      <c r="F29" s="55" t="n">
        <f aca="false">N(F28)-E29+D29</f>
        <v>0</v>
      </c>
      <c r="G29" s="36" t="n">
        <f aca="false">F29*Premissas!$C$40</f>
        <v>0</v>
      </c>
      <c r="H29" s="36" t="n">
        <f aca="false">G29*Premissas!$C$24+Premissas!$C$43</f>
        <v>0</v>
      </c>
      <c r="I29" s="44" t="n">
        <f aca="false">G29-H29</f>
        <v>0</v>
      </c>
      <c r="J29" s="36" t="n">
        <f aca="false">I29+(D29+IF(B29&gt;12,INDEX($D$6:$D$29,B29-12)*(1-Premissas!$F$19)^12,0))*Premissas!$F$21*Premissas!$C$42-F29*Premissas!$F$21*Premissas!$C$42/12</f>
        <v>0</v>
      </c>
      <c r="K29" s="44" t="n">
        <f aca="false">IF(B29=1,Premissas!$C$7,N(K28))+J29</f>
        <v>0</v>
      </c>
      <c r="L29" s="56" t="str">
        <f aca="false">IF(I29&gt;0,B29,"")</f>
        <v/>
      </c>
      <c r="M29" s="2"/>
      <c r="N29" s="2"/>
      <c r="O29" s="2"/>
      <c r="P29" s="2"/>
      <c r="Q29" s="2"/>
      <c r="R29" s="2"/>
    </row>
    <row r="30" customFormat="false" ht="15" hidden="false" customHeight="true" outlineLevel="0" collapsed="false">
      <c r="A30" s="2"/>
      <c r="B30" s="42" t="s">
        <v>110</v>
      </c>
      <c r="C30" s="42"/>
      <c r="D30" s="57" t="n">
        <f aca="false">SUM(D6:D29)</f>
        <v>0</v>
      </c>
      <c r="E30" s="57" t="n">
        <f aca="false">SUM(E6:E29)</f>
        <v>0</v>
      </c>
      <c r="F30" s="58"/>
      <c r="G30" s="43" t="n">
        <f aca="false">SUM(G6:G29)</f>
        <v>0</v>
      </c>
      <c r="H30" s="43" t="n">
        <f aca="false">SUM(H6:H29)</f>
        <v>0</v>
      </c>
      <c r="I30" s="43" t="n">
        <f aca="false">SUM(I6:I29)</f>
        <v>0</v>
      </c>
      <c r="J30" s="43" t="n">
        <f aca="false">SUM(J6:J29)</f>
        <v>0</v>
      </c>
      <c r="K30" s="58"/>
      <c r="L30" s="58"/>
      <c r="M30" s="2"/>
      <c r="N30" s="2"/>
      <c r="O30" s="2"/>
      <c r="P30" s="2"/>
      <c r="Q30" s="2"/>
      <c r="R30" s="2"/>
    </row>
    <row r="31" customFormat="false" ht="1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customFormat="false" ht="1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customFormat="false" ht="1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customFormat="false" ht="1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customFormat="false" ht="1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customFormat="false" ht="1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customFormat="false" ht="1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customFormat="false" ht="1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customFormat="false" ht="1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customFormat="false" ht="1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customFormat="false" ht="1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customFormat="false" ht="1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customFormat="false" ht="1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customFormat="false" ht="1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customFormat="false" ht="1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customFormat="false" ht="1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customFormat="false" ht="1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customFormat="false" ht="1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customFormat="false" ht="1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customFormat="false" ht="1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customFormat="false" ht="1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customFormat="false" ht="1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customFormat="false" ht="1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customFormat="false" ht="1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customFormat="false" ht="1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</sheetData>
  <mergeCells count="2">
    <mergeCell ref="B2:L2"/>
    <mergeCell ref="B30:C30"/>
  </mergeCells>
  <conditionalFormatting sqref="I6:I30">
    <cfRule type="expression" priority="2" aboveAverage="0" equalAverage="0" bottom="0" percent="0" rank="0" text="" dxfId="0">
      <formula>I6&lt;0</formula>
    </cfRule>
  </conditionalFormatting>
  <conditionalFormatting sqref="J6:J30">
    <cfRule type="expression" priority="3" aboveAverage="0" equalAverage="0" bottom="0" percent="0" rank="0" text="" dxfId="0">
      <formula>J6&lt;0</formula>
    </cfRule>
  </conditionalFormatting>
  <conditionalFormatting sqref="K6:K30">
    <cfRule type="expression" priority="4" aboveAverage="0" equalAverage="0" bottom="0" percent="0" rank="0" text="" dxfId="0">
      <formula>K6&lt;0</formula>
    </cfRule>
  </conditionalFormatting>
  <hyperlinks>
    <hyperlink ref="B1" r:id="rId1" location="'Painel'!A1" display="⌂  Paine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2026-09-26T04:11:18Z</dcterms:created>
  <dc:creator>openpyxl</dc:creator>
  <dc:description/>
  <dc:language>en-US</dc:language>
  <cp:lastModifiedBy/>
  <dcterms:modified xsi:type="dcterms:W3CDTF">2026-09-26T04:11:27Z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