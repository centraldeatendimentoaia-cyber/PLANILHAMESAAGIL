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Como usar" sheetId="1" state="visible" r:id="rId3"/>
    <sheet name="Resumo" sheetId="2" state="visible" r:id="rId4"/>
    <sheet name="Produtos" sheetId="3" state="visible" r:id="rId5"/>
    <sheet name="Despesas" sheetId="4" state="visible" r:id="rId6"/>
    <sheet name="Venda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5" authorId="0">
      <text>
        <r>
          <rPr>
            <sz val="10"/>
            <rFont val="Arial"/>
            <family val="2"/>
          </rPr>
          <t xml:space="preserve">Digite qualquer dia do mês que você quer ver, ex.: 01/10/2026.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4" authorId="0">
      <text>
        <r>
          <rPr>
            <sz val="10"/>
            <rFont val="Arial"/>
            <family val="2"/>
          </rPr>
          <t xml:space="preserve">Quanto custa para fazer 1 unidade: massa, recheio, óleo, embalagem.</t>
        </r>
      </text>
    </comment>
  </commentList>
</comments>
</file>

<file path=xl/sharedStrings.xml><?xml version="1.0" encoding="utf-8"?>
<sst xmlns="http://schemas.openxmlformats.org/spreadsheetml/2006/main" count="86" uniqueCount="72">
  <si>
    <t xml:space="preserve">Controle de Vendas da Barraca</t>
  </si>
  <si>
    <t xml:space="preserve">Planilha grátis do Sai aê · pedido, cozinha e senha para feira, food truck e lanchonete</t>
  </si>
  <si>
    <t xml:space="preserve">COMO USAR</t>
  </si>
  <si>
    <t xml:space="preserve">1. Produtos</t>
  </si>
  <si>
    <t xml:space="preserve">Cadastre o que você vende, com o preço de venda e quanto custa para fazer cada um.</t>
  </si>
  <si>
    <t xml:space="preserve">2. Despesas</t>
  </si>
  <si>
    <t xml:space="preserve">Confira as taxas da sua maquininha e lance as despesas do mês (taxa da feira, gás, embalagem...).</t>
  </si>
  <si>
    <t xml:space="preserve">3. Vendas</t>
  </si>
  <si>
    <t xml:space="preserve">A cada venda, lance a data, o produto, a quantidade e a forma de pagamento. O resto a planilha calcula.</t>
  </si>
  <si>
    <t xml:space="preserve">4. Resumo</t>
  </si>
  <si>
    <t xml:space="preserve">Escolha o mês e veja quanto vendeu, quanto sobrou de lucro e o que mais vende.</t>
  </si>
  <si>
    <t xml:space="preserve">CORES</t>
  </si>
  <si>
    <t xml:space="preserve">Amarelo-claro</t>
  </si>
  <si>
    <t xml:space="preserve">Você preenche.</t>
  </si>
  <si>
    <t xml:space="preserve">Branco</t>
  </si>
  <si>
    <t xml:space="preserve">A planilha calcula sozinha. Não precisa mexer.</t>
  </si>
  <si>
    <t xml:space="preserve">MÊS DO RESUMO</t>
  </si>
  <si>
    <t xml:space="preserve">Resumo</t>
  </si>
  <si>
    <t xml:space="preserve">Abre no mês atual. Para ver outro mês, digite qualquer data dele na célula amarelo-clara.</t>
  </si>
  <si>
    <t xml:space="preserve">Cansou de anotar?</t>
  </si>
  <si>
    <t xml:space="preserve">No Sai aê, cada venda lançada no caixa já entra no relatório do dia, sem digitar de novo.</t>
  </si>
  <si>
    <t xml:space="preserve">Resumo do mês</t>
  </si>
  <si>
    <t xml:space="preserve">Escolha o mês na célula amarelo-clara. Todo o resto é automático.</t>
  </si>
  <si>
    <t xml:space="preserve">Mês</t>
  </si>
  <si>
    <t xml:space="preserve">← início e fim do mês (automático)</t>
  </si>
  <si>
    <t xml:space="preserve">Resultado do mês</t>
  </si>
  <si>
    <t xml:space="preserve">Valor</t>
  </si>
  <si>
    <t xml:space="preserve">Forma de pagamento</t>
  </si>
  <si>
    <t xml:space="preserve">Vendas</t>
  </si>
  <si>
    <t xml:space="preserve">% do mês</t>
  </si>
  <si>
    <t xml:space="preserve">Dia</t>
  </si>
  <si>
    <t xml:space="preserve">Pix</t>
  </si>
  <si>
    <t xml:space="preserve">(−) Custo dos produtos</t>
  </si>
  <si>
    <t xml:space="preserve">Dinheiro</t>
  </si>
  <si>
    <t xml:space="preserve">(−) Taxas da maquininha</t>
  </si>
  <si>
    <t xml:space="preserve">Débito</t>
  </si>
  <si>
    <t xml:space="preserve">Lucro bruto</t>
  </si>
  <si>
    <t xml:space="preserve">Crédito</t>
  </si>
  <si>
    <t xml:space="preserve">(−) Despesas do mês</t>
  </si>
  <si>
    <t xml:space="preserve">Lucro líquido do mês</t>
  </si>
  <si>
    <t xml:space="preserve">Margem líquida</t>
  </si>
  <si>
    <t xml:space="preserve">Itens vendidos</t>
  </si>
  <si>
    <t xml:space="preserve">Dias com venda</t>
  </si>
  <si>
    <t xml:space="preserve">Média de vendas por dia</t>
  </si>
  <si>
    <t xml:space="preserve">POR PRODUTO NO MÊS</t>
  </si>
  <si>
    <t xml:space="preserve">Produto</t>
  </si>
  <si>
    <t xml:space="preserve">Qtd vendida</t>
  </si>
  <si>
    <t xml:space="preserve">Lucro</t>
  </si>
  <si>
    <t xml:space="preserve">% das vendas</t>
  </si>
  <si>
    <t xml:space="preserve">Lucro por unidade</t>
  </si>
  <si>
    <t xml:space="preserve">Produtos</t>
  </si>
  <si>
    <t xml:space="preserve">Cadastre o que você vende. Preço e custo por unidade.</t>
  </si>
  <si>
    <t xml:space="preserve">Categoria</t>
  </si>
  <si>
    <t xml:space="preserve">Preço de venda (R$)</t>
  </si>
  <si>
    <t xml:space="preserve">Custo por unidade (R$)</t>
  </si>
  <si>
    <t xml:space="preserve">Lucro por unidade (R$)</t>
  </si>
  <si>
    <t xml:space="preserve">Margem</t>
  </si>
  <si>
    <t xml:space="preserve">Despesas e taxas</t>
  </si>
  <si>
    <t xml:space="preserve">Taxas da maquininha por forma de pagamento e as despesas do mês.</t>
  </si>
  <si>
    <t xml:space="preserve">Taxa (%)</t>
  </si>
  <si>
    <t xml:space="preserve">Taxas de exemplo. Confira as da sua maquininha no app dela.</t>
  </si>
  <si>
    <t xml:space="preserve">DESPESAS DO MÊS</t>
  </si>
  <si>
    <t xml:space="preserve">Data</t>
  </si>
  <si>
    <t xml:space="preserve">Descrição</t>
  </si>
  <si>
    <t xml:space="preserve">Valor (R$)</t>
  </si>
  <si>
    <t xml:space="preserve">Uma linha por venda (ou por produto da venda). Preencha só as colunas amarelo-claras.</t>
  </si>
  <si>
    <t xml:space="preserve">Qtd</t>
  </si>
  <si>
    <t xml:space="preserve">Preço (R$)</t>
  </si>
  <si>
    <t xml:space="preserve">Total (R$)</t>
  </si>
  <si>
    <t xml:space="preserve">Custo (R$)</t>
  </si>
  <si>
    <t xml:space="preserve">Taxa (R$)</t>
  </si>
  <si>
    <t xml:space="preserve">Lucro (R$)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</si>
</sst>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mm/yyyy"/>
    <numFmt numFmtId="166" formatCode="dd/mm/yyyy"/>
    <numFmt numFmtId="167" formatCode="&quot;R$ &quot;#,##0.00;&quot;-R$ &quot;#,##0.00;\-"/>
    <numFmt numFmtId="168" formatCode="0.0%;\-0.0%;\-"/>
    <numFmt numFmtId="169" formatCode="dd/mm"/>
    <numFmt numFmtId="170" formatCode="#,##0;\-#,##0;\-"/>
    <numFmt numFmtId="171" formatCode="0;\-0;\-"/>
    <numFmt numFmtId="172" formatCode="&quot;R$ &quot;#,##0"/>
    <numFmt numFmtId="173" formatCode="0.00%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8171C"/>
      <name val="Arial"/>
      <family val="0"/>
      <charset val="1"/>
    </font>
    <font>
      <sz val="10"/>
      <color rgb="FF5E5C66"/>
      <name val="Arial"/>
      <family val="0"/>
      <charset val="1"/>
    </font>
    <font>
      <b val="true"/>
      <sz val="9"/>
      <color rgb="FF5E5C66"/>
      <name val="Arial"/>
      <family val="0"/>
      <charset val="1"/>
    </font>
    <font>
      <b val="true"/>
      <sz val="10"/>
      <color rgb="FF18171C"/>
      <name val="Arial"/>
      <family val="0"/>
      <charset val="1"/>
    </font>
    <font>
      <sz val="10"/>
      <color rgb="FF18171C"/>
      <name val="Arial"/>
      <family val="0"/>
      <charset val="1"/>
    </font>
    <font>
      <b val="true"/>
      <sz val="12"/>
      <color rgb="FF0000FF"/>
      <name val="Arial"/>
      <family val="0"/>
      <charset val="1"/>
    </font>
    <font>
      <sz val="8"/>
      <color rgb="FFB5B3BB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2"/>
      <color rgb="FF18171C"/>
      <name val="Arial"/>
      <family val="0"/>
      <charset val="1"/>
    </font>
    <font>
      <sz val="10"/>
      <name val="Arial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sz val="10"/>
      <color rgb="FF0000FF"/>
      <name val="Arial"/>
      <family val="0"/>
      <charset val="1"/>
    </font>
    <font>
      <i val="true"/>
      <sz val="10"/>
      <color rgb="FF5E5C66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C21A"/>
        <bgColor rgb="FFFF9900"/>
      </patternFill>
    </fill>
    <fill>
      <patternFill patternType="solid">
        <fgColor rgb="FFFFF8E1"/>
        <bgColor rgb="FFFFFFFF"/>
      </patternFill>
    </fill>
    <fill>
      <patternFill patternType="solid">
        <fgColor rgb="FF18171C"/>
        <bgColor rgb="FF0000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9D7DC"/>
      </left>
      <right style="thin">
        <color rgb="FFD9D7DC"/>
      </right>
      <top style="thin">
        <color rgb="FFD9D7DC"/>
      </top>
      <bottom style="thin">
        <color rgb="FFD9D7DC"/>
      </bottom>
      <diagonal/>
    </border>
    <border diagonalUp="false" diagonalDown="false">
      <left/>
      <right/>
      <top/>
      <bottom style="thin">
        <color rgb="FFD9D7D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6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6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6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5B3BB"/>
      <rgbColor rgb="FF878787"/>
      <rgbColor rgb="FF9999FF"/>
      <rgbColor rgb="FF993366"/>
      <rgbColor rgb="FFFFF8E1"/>
      <rgbColor rgb="FFCCFFFF"/>
      <rgbColor rgb="FF660066"/>
      <rgbColor rgb="FFFF8080"/>
      <rgbColor rgb="FF0066CC"/>
      <rgbColor rgb="FFD9D7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D9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21A"/>
      <rgbColor rgb="FFFF9900"/>
      <rgbColor rgb="FFFF6600"/>
      <rgbColor rgb="FF5E5C66"/>
      <rgbColor rgb="FF969696"/>
      <rgbColor rgb="FF003366"/>
      <rgbColor rgb="FF339966"/>
      <rgbColor rgb="FF18171C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Vendas por dia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Resumo!J7</c:f>
              <c:strCache>
                <c:ptCount val="1"/>
                <c:pt idx="0">
                  <c:v>Vendas</c:v>
                </c:pt>
              </c:strCache>
            </c:strRef>
          </c:tx>
          <c:spPr>
            <a:solidFill>
              <a:srgbClr val="ffc21a"/>
            </a:solidFill>
            <a:ln w="9360">
              <a:solidFill>
                <a:srgbClr val="ffc21a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Resumo!$I$8:$I$38</c:f>
              <c:strCache>
                <c:ptCount val="31"/>
                <c:pt idx="0">
                  <c:v>01/09</c:v>
                </c:pt>
                <c:pt idx="1">
                  <c:v>02/09</c:v>
                </c:pt>
                <c:pt idx="2">
                  <c:v>03/09</c:v>
                </c:pt>
                <c:pt idx="3">
                  <c:v>04/09</c:v>
                </c:pt>
                <c:pt idx="4">
                  <c:v>05/09</c:v>
                </c:pt>
                <c:pt idx="5">
                  <c:v>06/09</c:v>
                </c:pt>
                <c:pt idx="6">
                  <c:v>07/09</c:v>
                </c:pt>
                <c:pt idx="7">
                  <c:v>08/09</c:v>
                </c:pt>
                <c:pt idx="8">
                  <c:v>09/09</c:v>
                </c:pt>
                <c:pt idx="9">
                  <c:v>10/09</c:v>
                </c:pt>
                <c:pt idx="10">
                  <c:v>11/09</c:v>
                </c:pt>
                <c:pt idx="11">
                  <c:v>12/09</c:v>
                </c:pt>
                <c:pt idx="12">
                  <c:v>13/09</c:v>
                </c:pt>
                <c:pt idx="13">
                  <c:v>14/09</c:v>
                </c:pt>
                <c:pt idx="14">
                  <c:v>15/09</c:v>
                </c:pt>
                <c:pt idx="15">
                  <c:v>16/09</c:v>
                </c:pt>
                <c:pt idx="16">
                  <c:v>17/09</c:v>
                </c:pt>
                <c:pt idx="17">
                  <c:v>18/09</c:v>
                </c:pt>
                <c:pt idx="18">
                  <c:v>19/09</c:v>
                </c:pt>
                <c:pt idx="19">
                  <c:v>20/09</c:v>
                </c:pt>
                <c:pt idx="20">
                  <c:v>21/09</c:v>
                </c:pt>
                <c:pt idx="21">
                  <c:v>22/09</c:v>
                </c:pt>
                <c:pt idx="22">
                  <c:v>23/09</c:v>
                </c:pt>
                <c:pt idx="23">
                  <c:v>24/09</c:v>
                </c:pt>
                <c:pt idx="24">
                  <c:v>25/09</c:v>
                </c:pt>
                <c:pt idx="25">
                  <c:v>26/09</c:v>
                </c:pt>
                <c:pt idx="26">
                  <c:v>27/09</c:v>
                </c:pt>
                <c:pt idx="27">
                  <c:v>28/09</c:v>
                </c:pt>
                <c:pt idx="28">
                  <c:v>29/09</c:v>
                </c:pt>
                <c:pt idx="29">
                  <c:v>30/09</c:v>
                </c:pt>
                <c:pt idx="30">
                  <c:v/>
                </c:pt>
              </c:strCache>
            </c:strRef>
          </c:cat>
          <c:val>
            <c:numRef>
              <c:f>Resumo!$J$8:$J$38</c:f>
              <c:numCache>
                <c:formatCode>"R$ "#,##0.00;"-R$ "#,##0.00;\-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gapWidth val="150"/>
        <c:overlap val="0"/>
        <c:axId val="88593303"/>
        <c:axId val="27984937"/>
      </c:barChart>
      <c:catAx>
        <c:axId val="88593303"/>
        <c:scaling>
          <c:orientation val="minMax"/>
        </c:scaling>
        <c:delete val="0"/>
        <c:axPos val="b"/>
        <c:numFmt formatCode="dd/mm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7984937"/>
        <c:crosses val="autoZero"/>
        <c:auto val="1"/>
        <c:lblAlgn val="ctr"/>
        <c:lblOffset val="100"/>
        <c:noMultiLvlLbl val="0"/>
      </c:catAx>
      <c:valAx>
        <c:axId val="27984937"/>
        <c:scaling>
          <c:orientation val="minMax"/>
        </c:scaling>
        <c:delete val="0"/>
        <c:axPos val="l"/>
        <c:numFmt formatCode="&quot;R$ &quot;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859330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12</xdr:row>
      <xdr:rowOff>0</xdr:rowOff>
    </xdr:from>
    <xdr:to>
      <xdr:col>9</xdr:col>
      <xdr:colOff>430200</xdr:colOff>
      <xdr:row>25</xdr:row>
      <xdr:rowOff>32760</xdr:rowOff>
    </xdr:to>
    <xdr:graphicFrame>
      <xdr:nvGraphicFramePr>
        <xdr:cNvPr id="0" name="Chart 1"/>
        <xdr:cNvGraphicFramePr/>
      </xdr:nvGraphicFramePr>
      <xdr:xfrm>
        <a:off x="5334120" y="2467080"/>
        <a:ext cx="611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8171C"/>
    <pageSetUpPr fitToPage="false"/>
  </sheetPr>
  <dimension ref="A1:K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00"/>
  </cols>
  <sheetData>
    <row r="1" customFormat="false" ht="25.5" hidden="false" customHeight="tru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3.75" hidden="false" customHeight="tru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5" customFormat="false" ht="15" hidden="false" customHeight="false" outlineLevel="0" collapsed="false">
      <c r="A5" s="4" t="s">
        <v>2</v>
      </c>
    </row>
    <row r="6" customFormat="false" ht="15" hidden="false" customHeight="false" outlineLevel="0" collapsed="false">
      <c r="A6" s="5" t="s">
        <v>3</v>
      </c>
      <c r="B6" s="6" t="s">
        <v>4</v>
      </c>
    </row>
    <row r="7" customFormat="false" ht="15" hidden="false" customHeight="false" outlineLevel="0" collapsed="false">
      <c r="A7" s="5" t="s">
        <v>5</v>
      </c>
      <c r="B7" s="6" t="s">
        <v>6</v>
      </c>
    </row>
    <row r="8" customFormat="false" ht="15" hidden="false" customHeight="false" outlineLevel="0" collapsed="false">
      <c r="A8" s="5" t="s">
        <v>7</v>
      </c>
      <c r="B8" s="6" t="s">
        <v>8</v>
      </c>
    </row>
    <row r="9" customFormat="false" ht="15" hidden="false" customHeight="false" outlineLevel="0" collapsed="false">
      <c r="A9" s="5" t="s">
        <v>9</v>
      </c>
      <c r="B9" s="6" t="s">
        <v>10</v>
      </c>
    </row>
    <row r="10" customFormat="false" ht="15" hidden="false" customHeight="false" outlineLevel="0" collapsed="false">
      <c r="A10" s="5"/>
      <c r="B10" s="6"/>
    </row>
    <row r="11" customFormat="false" ht="15" hidden="false" customHeight="false" outlineLevel="0" collapsed="false">
      <c r="A11" s="4" t="s">
        <v>11</v>
      </c>
    </row>
    <row r="12" customFormat="false" ht="15" hidden="false" customHeight="false" outlineLevel="0" collapsed="false">
      <c r="A12" s="7" t="s">
        <v>12</v>
      </c>
      <c r="B12" s="6" t="s">
        <v>13</v>
      </c>
    </row>
    <row r="13" customFormat="false" ht="15" hidden="false" customHeight="false" outlineLevel="0" collapsed="false">
      <c r="A13" s="8" t="s">
        <v>14</v>
      </c>
      <c r="B13" s="6" t="s">
        <v>15</v>
      </c>
    </row>
    <row r="14" customFormat="false" ht="15" hidden="false" customHeight="false" outlineLevel="0" collapsed="false">
      <c r="A14" s="5"/>
      <c r="B14" s="6"/>
    </row>
    <row r="15" customFormat="false" ht="15" hidden="false" customHeight="false" outlineLevel="0" collapsed="false">
      <c r="A15" s="4" t="s">
        <v>16</v>
      </c>
    </row>
    <row r="16" customFormat="false" ht="15" hidden="false" customHeight="false" outlineLevel="0" collapsed="false">
      <c r="A16" s="5" t="s">
        <v>17</v>
      </c>
      <c r="B16" s="6" t="s">
        <v>18</v>
      </c>
    </row>
    <row r="17" customFormat="false" ht="15" hidden="false" customHeight="false" outlineLevel="0" collapsed="false">
      <c r="A17" s="5"/>
      <c r="B17" s="6"/>
    </row>
    <row r="18" customFormat="false" ht="15" hidden="false" customHeight="false" outlineLevel="0" collapsed="false">
      <c r="A18" s="9" t="s">
        <v>19</v>
      </c>
      <c r="B18" s="10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21A"/>
    <pageSetUpPr fitToPage="false"/>
  </sheetPr>
  <dimension ref="A1:K6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4" min="2" style="0" width="16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8" min="7" style="0" width="4"/>
    <col collapsed="false" customWidth="true" hidden="false" outlineLevel="0" max="9" min="9" style="0" width="10"/>
    <col collapsed="false" customWidth="true" hidden="false" outlineLevel="0" max="10" min="10" style="0" width="13"/>
  </cols>
  <sheetData>
    <row r="1" customFormat="false" ht="25.5" hidden="false" customHeight="true" outlineLevel="0" collapsed="false">
      <c r="A1" s="1" t="s">
        <v>21</v>
      </c>
    </row>
    <row r="2" customFormat="false" ht="15" hidden="false" customHeight="false" outlineLevel="0" collapsed="false">
      <c r="A2" s="2" t="s">
        <v>22</v>
      </c>
    </row>
    <row r="3" customFormat="false" ht="3.75" hidden="false" customHeight="tru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5" customFormat="false" ht="15" hidden="false" customHeight="false" outlineLevel="0" collapsed="false">
      <c r="A5" s="5" t="s">
        <v>23</v>
      </c>
      <c r="B5" s="11" t="n">
        <f aca="true">TODAY()</f>
        <v>46291</v>
      </c>
      <c r="C5" s="12" t="n">
        <f aca="false">DATE(YEAR(B5),MONTH(B5),1)</f>
        <v>46266</v>
      </c>
      <c r="D5" s="12" t="n">
        <f aca="false">EDATE(C5,1)</f>
        <v>46296</v>
      </c>
      <c r="E5" s="13" t="s">
        <v>24</v>
      </c>
    </row>
    <row r="7" customFormat="false" ht="30" hidden="false" customHeight="true" outlineLevel="0" collapsed="false">
      <c r="A7" s="14" t="s">
        <v>25</v>
      </c>
      <c r="B7" s="14" t="s">
        <v>26</v>
      </c>
      <c r="D7" s="14" t="s">
        <v>27</v>
      </c>
      <c r="E7" s="14" t="s">
        <v>28</v>
      </c>
      <c r="F7" s="14" t="s">
        <v>29</v>
      </c>
      <c r="I7" s="14" t="s">
        <v>30</v>
      </c>
      <c r="J7" s="14" t="s">
        <v>28</v>
      </c>
    </row>
    <row r="8" customFormat="false" ht="15" hidden="false" customHeight="false" outlineLevel="0" collapsed="false">
      <c r="A8" s="15" t="s">
        <v>28</v>
      </c>
      <c r="B8" s="16" t="n">
        <f aca="false">SUMIFS(Vendas!$F$5:$F$1004,Vendas!$A$5:$A$1004,"&gt;="&amp;$C$5,Vendas!$A$5:$A$1004,"&lt;"&amp;$D$5)</f>
        <v>0</v>
      </c>
      <c r="D8" s="17" t="s">
        <v>31</v>
      </c>
      <c r="E8" s="18" t="n">
        <f aca="false">SUMIFS(Vendas!$F$5:$F$1004,Vendas!$D$5:$D$1004,D8,Vendas!$A$5:$A$1004,"&gt;="&amp;$C$5,Vendas!$A$5:$A$1004,"&lt;"&amp;$D$5)</f>
        <v>0</v>
      </c>
      <c r="F8" s="19" t="n">
        <f aca="false">IF($B$8=0,0,E8/$B$8)</f>
        <v>0</v>
      </c>
      <c r="I8" s="20" t="n">
        <f aca="false">IF(MONTH($C$5+0)=MONTH($C$5),$C$5+0,"")</f>
        <v>46266</v>
      </c>
      <c r="J8" s="21" t="n">
        <f aca="false">IF(I8="",0,SUMIFS(Vendas!$F$5:$F$1004,Vendas!$A$5:$A$1004,I8))</f>
        <v>0</v>
      </c>
    </row>
    <row r="9" customFormat="false" ht="15" hidden="false" customHeight="false" outlineLevel="0" collapsed="false">
      <c r="A9" s="15" t="s">
        <v>32</v>
      </c>
      <c r="B9" s="16" t="n">
        <f aca="false">SUMIFS(Vendas!$G$5:$G$1004,Vendas!$A$5:$A$1004,"&gt;="&amp;$C$5,Vendas!$A$5:$A$1004,"&lt;"&amp;$D$5)</f>
        <v>0</v>
      </c>
      <c r="D9" s="17" t="s">
        <v>33</v>
      </c>
      <c r="E9" s="18" t="n">
        <f aca="false">SUMIFS(Vendas!$F$5:$F$1004,Vendas!$D$5:$D$1004,D9,Vendas!$A$5:$A$1004,"&gt;="&amp;$C$5,Vendas!$A$5:$A$1004,"&lt;"&amp;$D$5)</f>
        <v>0</v>
      </c>
      <c r="F9" s="19" t="n">
        <f aca="false">IF($B$8=0,0,E9/$B$8)</f>
        <v>0</v>
      </c>
      <c r="I9" s="20" t="n">
        <f aca="false">IF(MONTH($C$5+1)=MONTH($C$5),$C$5+1,"")</f>
        <v>46267</v>
      </c>
      <c r="J9" s="21" t="n">
        <f aca="false">IF(I9="",0,SUMIFS(Vendas!$F$5:$F$1004,Vendas!$A$5:$A$1004,I9))</f>
        <v>0</v>
      </c>
    </row>
    <row r="10" customFormat="false" ht="15" hidden="false" customHeight="false" outlineLevel="0" collapsed="false">
      <c r="A10" s="15" t="s">
        <v>34</v>
      </c>
      <c r="B10" s="16" t="n">
        <f aca="false">SUMIFS(Vendas!$H$5:$H$1004,Vendas!$A$5:$A$1004,"&gt;="&amp;$C$5,Vendas!$A$5:$A$1004,"&lt;"&amp;$D$5)</f>
        <v>0</v>
      </c>
      <c r="D10" s="17" t="s">
        <v>35</v>
      </c>
      <c r="E10" s="18" t="n">
        <f aca="false">SUMIFS(Vendas!$F$5:$F$1004,Vendas!$D$5:$D$1004,D10,Vendas!$A$5:$A$1004,"&gt;="&amp;$C$5,Vendas!$A$5:$A$1004,"&lt;"&amp;$D$5)</f>
        <v>0</v>
      </c>
      <c r="F10" s="19" t="n">
        <f aca="false">IF($B$8=0,0,E10/$B$8)</f>
        <v>0</v>
      </c>
      <c r="I10" s="20" t="n">
        <f aca="false">IF(MONTH($C$5+2)=MONTH($C$5),$C$5+2,"")</f>
        <v>46268</v>
      </c>
      <c r="J10" s="21" t="n">
        <f aca="false">IF(I10="",0,SUMIFS(Vendas!$F$5:$F$1004,Vendas!$A$5:$A$1004,I10))</f>
        <v>0</v>
      </c>
    </row>
    <row r="11" customFormat="false" ht="15" hidden="false" customHeight="false" outlineLevel="0" collapsed="false">
      <c r="A11" s="17" t="s">
        <v>36</v>
      </c>
      <c r="B11" s="22" t="n">
        <f aca="false">B8-B9-B10</f>
        <v>0</v>
      </c>
      <c r="D11" s="17" t="s">
        <v>37</v>
      </c>
      <c r="E11" s="18" t="n">
        <f aca="false">SUMIFS(Vendas!$F$5:$F$1004,Vendas!$D$5:$D$1004,D11,Vendas!$A$5:$A$1004,"&gt;="&amp;$C$5,Vendas!$A$5:$A$1004,"&lt;"&amp;$D$5)</f>
        <v>0</v>
      </c>
      <c r="F11" s="19" t="n">
        <f aca="false">IF($B$8=0,0,E11/$B$8)</f>
        <v>0</v>
      </c>
      <c r="I11" s="20" t="n">
        <f aca="false">IF(MONTH($C$5+3)=MONTH($C$5),$C$5+3,"")</f>
        <v>46269</v>
      </c>
      <c r="J11" s="21" t="n">
        <f aca="false">IF(I11="",0,SUMIFS(Vendas!$F$5:$F$1004,Vendas!$A$5:$A$1004,I11))</f>
        <v>0</v>
      </c>
    </row>
    <row r="12" customFormat="false" ht="15" hidden="false" customHeight="false" outlineLevel="0" collapsed="false">
      <c r="A12" s="15" t="s">
        <v>38</v>
      </c>
      <c r="B12" s="16" t="n">
        <f aca="false">SUMIFS(Despesas!$D$13:$D$212,Despesas!$A$13:$A$212,"&gt;="&amp;$C$5,Despesas!$A$13:$A$212,"&lt;"&amp;$D$5)</f>
        <v>0</v>
      </c>
      <c r="I12" s="20" t="n">
        <f aca="false">IF(MONTH($C$5+4)=MONTH($C$5),$C$5+4,"")</f>
        <v>46270</v>
      </c>
      <c r="J12" s="21" t="n">
        <f aca="false">IF(I12="",0,SUMIFS(Vendas!$F$5:$F$1004,Vendas!$A$5:$A$1004,I12))</f>
        <v>0</v>
      </c>
    </row>
    <row r="13" customFormat="false" ht="15" hidden="false" customHeight="false" outlineLevel="0" collapsed="false">
      <c r="A13" s="23" t="s">
        <v>39</v>
      </c>
      <c r="B13" s="24" t="n">
        <f aca="false">B11-B12</f>
        <v>0</v>
      </c>
      <c r="I13" s="20" t="n">
        <f aca="false">IF(MONTH($C$5+5)=MONTH($C$5),$C$5+5,"")</f>
        <v>46271</v>
      </c>
      <c r="J13" s="21" t="n">
        <f aca="false">IF(I13="",0,SUMIFS(Vendas!$F$5:$F$1004,Vendas!$A$5:$A$1004,I13))</f>
        <v>0</v>
      </c>
    </row>
    <row r="14" customFormat="false" ht="15" hidden="false" customHeight="false" outlineLevel="0" collapsed="false">
      <c r="A14" s="15" t="s">
        <v>40</v>
      </c>
      <c r="B14" s="25" t="n">
        <f aca="false">IF(B8=0,0,B13/B8)</f>
        <v>0</v>
      </c>
      <c r="I14" s="20" t="n">
        <f aca="false">IF(MONTH($C$5+6)=MONTH($C$5),$C$5+6,"")</f>
        <v>46272</v>
      </c>
      <c r="J14" s="21" t="n">
        <f aca="false">IF(I14="",0,SUMIFS(Vendas!$F$5:$F$1004,Vendas!$A$5:$A$1004,I14))</f>
        <v>0</v>
      </c>
    </row>
    <row r="15" customFormat="false" ht="15" hidden="false" customHeight="false" outlineLevel="0" collapsed="false">
      <c r="A15" s="15" t="s">
        <v>41</v>
      </c>
      <c r="B15" s="26" t="n">
        <f aca="false">SUMIFS(Vendas!$C$5:$C$1004,Vendas!$A$5:$A$1004,"&gt;="&amp;$C$5,Vendas!$A$5:$A$1004,"&lt;"&amp;$D$5)</f>
        <v>0</v>
      </c>
      <c r="I15" s="20" t="n">
        <f aca="false">IF(MONTH($C$5+7)=MONTH($C$5),$C$5+7,"")</f>
        <v>46273</v>
      </c>
      <c r="J15" s="21" t="n">
        <f aca="false">IF(I15="",0,SUMIFS(Vendas!$F$5:$F$1004,Vendas!$A$5:$A$1004,I15))</f>
        <v>0</v>
      </c>
    </row>
    <row r="16" customFormat="false" ht="15" hidden="false" customHeight="false" outlineLevel="0" collapsed="false">
      <c r="A16" s="15" t="s">
        <v>42</v>
      </c>
      <c r="B16" s="27" t="n">
        <f aca="false">COUNTIF($J$8:$J$38,"&gt;0")</f>
        <v>0</v>
      </c>
      <c r="I16" s="20" t="n">
        <f aca="false">IF(MONTH($C$5+8)=MONTH($C$5),$C$5+8,"")</f>
        <v>46274</v>
      </c>
      <c r="J16" s="21" t="n">
        <f aca="false">IF(I16="",0,SUMIFS(Vendas!$F$5:$F$1004,Vendas!$A$5:$A$1004,I16))</f>
        <v>0</v>
      </c>
    </row>
    <row r="17" customFormat="false" ht="15" hidden="false" customHeight="false" outlineLevel="0" collapsed="false">
      <c r="A17" s="15" t="s">
        <v>43</v>
      </c>
      <c r="B17" s="16" t="n">
        <f aca="false">IF(B16=0,0,B8/B16)</f>
        <v>0</v>
      </c>
      <c r="I17" s="20" t="n">
        <f aca="false">IF(MONTH($C$5+9)=MONTH($C$5),$C$5+9,"")</f>
        <v>46275</v>
      </c>
      <c r="J17" s="21" t="n">
        <f aca="false">IF(I17="",0,SUMIFS(Vendas!$F$5:$F$1004,Vendas!$A$5:$A$1004,I17))</f>
        <v>0</v>
      </c>
    </row>
    <row r="18" customFormat="false" ht="15" hidden="false" customHeight="false" outlineLevel="0" collapsed="false">
      <c r="I18" s="20" t="n">
        <f aca="false">IF(MONTH($C$5+10)=MONTH($C$5),$C$5+10,"")</f>
        <v>46276</v>
      </c>
      <c r="J18" s="21" t="n">
        <f aca="false">IF(I18="",0,SUMIFS(Vendas!$F$5:$F$1004,Vendas!$A$5:$A$1004,I18))</f>
        <v>0</v>
      </c>
    </row>
    <row r="19" customFormat="false" ht="15" hidden="false" customHeight="false" outlineLevel="0" collapsed="false">
      <c r="A19" s="4" t="s">
        <v>44</v>
      </c>
      <c r="I19" s="20" t="n">
        <f aca="false">IF(MONTH($C$5+11)=MONTH($C$5),$C$5+11,"")</f>
        <v>46277</v>
      </c>
      <c r="J19" s="21" t="n">
        <f aca="false">IF(I19="",0,SUMIFS(Vendas!$F$5:$F$1004,Vendas!$A$5:$A$1004,I19))</f>
        <v>0</v>
      </c>
    </row>
    <row r="20" customFormat="false" ht="30" hidden="false" customHeight="true" outlineLevel="0" collapsed="false">
      <c r="A20" s="14" t="s">
        <v>45</v>
      </c>
      <c r="B20" s="14" t="s">
        <v>46</v>
      </c>
      <c r="C20" s="14" t="s">
        <v>28</v>
      </c>
      <c r="D20" s="14" t="s">
        <v>47</v>
      </c>
      <c r="E20" s="14" t="s">
        <v>48</v>
      </c>
      <c r="F20" s="14" t="s">
        <v>49</v>
      </c>
      <c r="I20" s="20" t="n">
        <f aca="false">IF(MONTH($C$5+12)=MONTH($C$5),$C$5+12,"")</f>
        <v>46278</v>
      </c>
      <c r="J20" s="21" t="n">
        <f aca="false">IF(I20="",0,SUMIFS(Vendas!$F$5:$F$1004,Vendas!$A$5:$A$1004,I20))</f>
        <v>0</v>
      </c>
    </row>
    <row r="21" customFormat="false" ht="15" hidden="false" customHeight="false" outlineLevel="0" collapsed="false">
      <c r="A21" s="28" t="str">
        <f aca="false">IF(Produtos!A5="","",Produtos!A5)</f>
        <v/>
      </c>
      <c r="B21" s="29" t="str">
        <f aca="false">IF(A21="","",SUMIFS(Vendas!$C$5:$C$1004,Vendas!$B$5:$B$1004,A21,Vendas!$A$5:$A$1004,"&gt;="&amp;$C$5,Vendas!$A$5:$A$1004,"&lt;"&amp;$D$5))</f>
        <v/>
      </c>
      <c r="C21" s="18" t="str">
        <f aca="false">IF(A21="","",SUMIFS(Vendas!$F$5:$F$1004,Vendas!$B$5:$B$1004,A21,Vendas!$A$5:$A$1004,"&gt;="&amp;$C$5,Vendas!$A$5:$A$1004,"&lt;"&amp;$D$5))</f>
        <v/>
      </c>
      <c r="D21" s="18" t="str">
        <f aca="false">IF(A21="","",SUMIFS(Vendas!$I$5:$I$1004,Vendas!$B$5:$B$1004,A21,Vendas!$A$5:$A$1004,"&gt;="&amp;$C$5,Vendas!$A$5:$A$1004,"&lt;"&amp;$D$5))</f>
        <v/>
      </c>
      <c r="E21" s="19" t="str">
        <f aca="false">IF(OR(A21="",$B$8=0),"",C21/$B$8)</f>
        <v/>
      </c>
      <c r="F21" s="18" t="str">
        <f aca="false">IF(A21="","",Produtos!E5)</f>
        <v/>
      </c>
      <c r="I21" s="20" t="n">
        <f aca="false">IF(MONTH($C$5+13)=MONTH($C$5),$C$5+13,"")</f>
        <v>46279</v>
      </c>
      <c r="J21" s="21" t="n">
        <f aca="false">IF(I21="",0,SUMIFS(Vendas!$F$5:$F$1004,Vendas!$A$5:$A$1004,I21))</f>
        <v>0</v>
      </c>
    </row>
    <row r="22" customFormat="false" ht="15" hidden="false" customHeight="false" outlineLevel="0" collapsed="false">
      <c r="A22" s="28" t="str">
        <f aca="false">IF(Produtos!A6="","",Produtos!A6)</f>
        <v/>
      </c>
      <c r="B22" s="29" t="str">
        <f aca="false">IF(A22="","",SUMIFS(Vendas!$C$5:$C$1004,Vendas!$B$5:$B$1004,A22,Vendas!$A$5:$A$1004,"&gt;="&amp;$C$5,Vendas!$A$5:$A$1004,"&lt;"&amp;$D$5))</f>
        <v/>
      </c>
      <c r="C22" s="18" t="str">
        <f aca="false">IF(A22="","",SUMIFS(Vendas!$F$5:$F$1004,Vendas!$B$5:$B$1004,A22,Vendas!$A$5:$A$1004,"&gt;="&amp;$C$5,Vendas!$A$5:$A$1004,"&lt;"&amp;$D$5))</f>
        <v/>
      </c>
      <c r="D22" s="18" t="str">
        <f aca="false">IF(A22="","",SUMIFS(Vendas!$I$5:$I$1004,Vendas!$B$5:$B$1004,A22,Vendas!$A$5:$A$1004,"&gt;="&amp;$C$5,Vendas!$A$5:$A$1004,"&lt;"&amp;$D$5))</f>
        <v/>
      </c>
      <c r="E22" s="19" t="str">
        <f aca="false">IF(OR(A22="",$B$8=0),"",C22/$B$8)</f>
        <v/>
      </c>
      <c r="F22" s="18" t="str">
        <f aca="false">IF(A22="","",Produtos!E6)</f>
        <v/>
      </c>
      <c r="I22" s="20" t="n">
        <f aca="false">IF(MONTH($C$5+14)=MONTH($C$5),$C$5+14,"")</f>
        <v>46280</v>
      </c>
      <c r="J22" s="21" t="n">
        <f aca="false">IF(I22="",0,SUMIFS(Vendas!$F$5:$F$1004,Vendas!$A$5:$A$1004,I22))</f>
        <v>0</v>
      </c>
    </row>
    <row r="23" customFormat="false" ht="15" hidden="false" customHeight="false" outlineLevel="0" collapsed="false">
      <c r="A23" s="28" t="str">
        <f aca="false">IF(Produtos!A7="","",Produtos!A7)</f>
        <v/>
      </c>
      <c r="B23" s="29" t="str">
        <f aca="false">IF(A23="","",SUMIFS(Vendas!$C$5:$C$1004,Vendas!$B$5:$B$1004,A23,Vendas!$A$5:$A$1004,"&gt;="&amp;$C$5,Vendas!$A$5:$A$1004,"&lt;"&amp;$D$5))</f>
        <v/>
      </c>
      <c r="C23" s="18" t="str">
        <f aca="false">IF(A23="","",SUMIFS(Vendas!$F$5:$F$1004,Vendas!$B$5:$B$1004,A23,Vendas!$A$5:$A$1004,"&gt;="&amp;$C$5,Vendas!$A$5:$A$1004,"&lt;"&amp;$D$5))</f>
        <v/>
      </c>
      <c r="D23" s="18" t="str">
        <f aca="false">IF(A23="","",SUMIFS(Vendas!$I$5:$I$1004,Vendas!$B$5:$B$1004,A23,Vendas!$A$5:$A$1004,"&gt;="&amp;$C$5,Vendas!$A$5:$A$1004,"&lt;"&amp;$D$5))</f>
        <v/>
      </c>
      <c r="E23" s="19" t="str">
        <f aca="false">IF(OR(A23="",$B$8=0),"",C23/$B$8)</f>
        <v/>
      </c>
      <c r="F23" s="18" t="str">
        <f aca="false">IF(A23="","",Produtos!E7)</f>
        <v/>
      </c>
      <c r="I23" s="20" t="n">
        <f aca="false">IF(MONTH($C$5+15)=MONTH($C$5),$C$5+15,"")</f>
        <v>46281</v>
      </c>
      <c r="J23" s="21" t="n">
        <f aca="false">IF(I23="",0,SUMIFS(Vendas!$F$5:$F$1004,Vendas!$A$5:$A$1004,I23))</f>
        <v>0</v>
      </c>
    </row>
    <row r="24" customFormat="false" ht="15" hidden="false" customHeight="false" outlineLevel="0" collapsed="false">
      <c r="A24" s="28" t="str">
        <f aca="false">IF(Produtos!A8="","",Produtos!A8)</f>
        <v/>
      </c>
      <c r="B24" s="29" t="str">
        <f aca="false">IF(A24="","",SUMIFS(Vendas!$C$5:$C$1004,Vendas!$B$5:$B$1004,A24,Vendas!$A$5:$A$1004,"&gt;="&amp;$C$5,Vendas!$A$5:$A$1004,"&lt;"&amp;$D$5))</f>
        <v/>
      </c>
      <c r="C24" s="18" t="str">
        <f aca="false">IF(A24="","",SUMIFS(Vendas!$F$5:$F$1004,Vendas!$B$5:$B$1004,A24,Vendas!$A$5:$A$1004,"&gt;="&amp;$C$5,Vendas!$A$5:$A$1004,"&lt;"&amp;$D$5))</f>
        <v/>
      </c>
      <c r="D24" s="18" t="str">
        <f aca="false">IF(A24="","",SUMIFS(Vendas!$I$5:$I$1004,Vendas!$B$5:$B$1004,A24,Vendas!$A$5:$A$1004,"&gt;="&amp;$C$5,Vendas!$A$5:$A$1004,"&lt;"&amp;$D$5))</f>
        <v/>
      </c>
      <c r="E24" s="19" t="str">
        <f aca="false">IF(OR(A24="",$B$8=0),"",C24/$B$8)</f>
        <v/>
      </c>
      <c r="F24" s="18" t="str">
        <f aca="false">IF(A24="","",Produtos!E8)</f>
        <v/>
      </c>
      <c r="I24" s="20" t="n">
        <f aca="false">IF(MONTH($C$5+16)=MONTH($C$5),$C$5+16,"")</f>
        <v>46282</v>
      </c>
      <c r="J24" s="21" t="n">
        <f aca="false">IF(I24="",0,SUMIFS(Vendas!$F$5:$F$1004,Vendas!$A$5:$A$1004,I24))</f>
        <v>0</v>
      </c>
    </row>
    <row r="25" customFormat="false" ht="15" hidden="false" customHeight="false" outlineLevel="0" collapsed="false">
      <c r="A25" s="28" t="str">
        <f aca="false">IF(Produtos!A9="","",Produtos!A9)</f>
        <v/>
      </c>
      <c r="B25" s="29" t="str">
        <f aca="false">IF(A25="","",SUMIFS(Vendas!$C$5:$C$1004,Vendas!$B$5:$B$1004,A25,Vendas!$A$5:$A$1004,"&gt;="&amp;$C$5,Vendas!$A$5:$A$1004,"&lt;"&amp;$D$5))</f>
        <v/>
      </c>
      <c r="C25" s="18" t="str">
        <f aca="false">IF(A25="","",SUMIFS(Vendas!$F$5:$F$1004,Vendas!$B$5:$B$1004,A25,Vendas!$A$5:$A$1004,"&gt;="&amp;$C$5,Vendas!$A$5:$A$1004,"&lt;"&amp;$D$5))</f>
        <v/>
      </c>
      <c r="D25" s="18" t="str">
        <f aca="false">IF(A25="","",SUMIFS(Vendas!$I$5:$I$1004,Vendas!$B$5:$B$1004,A25,Vendas!$A$5:$A$1004,"&gt;="&amp;$C$5,Vendas!$A$5:$A$1004,"&lt;"&amp;$D$5))</f>
        <v/>
      </c>
      <c r="E25" s="19" t="str">
        <f aca="false">IF(OR(A25="",$B$8=0),"",C25/$B$8)</f>
        <v/>
      </c>
      <c r="F25" s="18" t="str">
        <f aca="false">IF(A25="","",Produtos!E9)</f>
        <v/>
      </c>
      <c r="I25" s="20" t="n">
        <f aca="false">IF(MONTH($C$5+17)=MONTH($C$5),$C$5+17,"")</f>
        <v>46283</v>
      </c>
      <c r="J25" s="21" t="n">
        <f aca="false">IF(I25="",0,SUMIFS(Vendas!$F$5:$F$1004,Vendas!$A$5:$A$1004,I25))</f>
        <v>0</v>
      </c>
    </row>
    <row r="26" customFormat="false" ht="15" hidden="false" customHeight="false" outlineLevel="0" collapsed="false">
      <c r="A26" s="28" t="str">
        <f aca="false">IF(Produtos!A10="","",Produtos!A10)</f>
        <v/>
      </c>
      <c r="B26" s="29" t="str">
        <f aca="false">IF(A26="","",SUMIFS(Vendas!$C$5:$C$1004,Vendas!$B$5:$B$1004,A26,Vendas!$A$5:$A$1004,"&gt;="&amp;$C$5,Vendas!$A$5:$A$1004,"&lt;"&amp;$D$5))</f>
        <v/>
      </c>
      <c r="C26" s="18" t="str">
        <f aca="false">IF(A26="","",SUMIFS(Vendas!$F$5:$F$1004,Vendas!$B$5:$B$1004,A26,Vendas!$A$5:$A$1004,"&gt;="&amp;$C$5,Vendas!$A$5:$A$1004,"&lt;"&amp;$D$5))</f>
        <v/>
      </c>
      <c r="D26" s="18" t="str">
        <f aca="false">IF(A26="","",SUMIFS(Vendas!$I$5:$I$1004,Vendas!$B$5:$B$1004,A26,Vendas!$A$5:$A$1004,"&gt;="&amp;$C$5,Vendas!$A$5:$A$1004,"&lt;"&amp;$D$5))</f>
        <v/>
      </c>
      <c r="E26" s="19" t="str">
        <f aca="false">IF(OR(A26="",$B$8=0),"",C26/$B$8)</f>
        <v/>
      </c>
      <c r="F26" s="18" t="str">
        <f aca="false">IF(A26="","",Produtos!E10)</f>
        <v/>
      </c>
      <c r="I26" s="20" t="n">
        <f aca="false">IF(MONTH($C$5+18)=MONTH($C$5),$C$5+18,"")</f>
        <v>46284</v>
      </c>
      <c r="J26" s="21" t="n">
        <f aca="false">IF(I26="",0,SUMIFS(Vendas!$F$5:$F$1004,Vendas!$A$5:$A$1004,I26))</f>
        <v>0</v>
      </c>
    </row>
    <row r="27" customFormat="false" ht="15" hidden="false" customHeight="false" outlineLevel="0" collapsed="false">
      <c r="A27" s="28" t="str">
        <f aca="false">IF(Produtos!A11="","",Produtos!A11)</f>
        <v/>
      </c>
      <c r="B27" s="29" t="str">
        <f aca="false">IF(A27="","",SUMIFS(Vendas!$C$5:$C$1004,Vendas!$B$5:$B$1004,A27,Vendas!$A$5:$A$1004,"&gt;="&amp;$C$5,Vendas!$A$5:$A$1004,"&lt;"&amp;$D$5))</f>
        <v/>
      </c>
      <c r="C27" s="18" t="str">
        <f aca="false">IF(A27="","",SUMIFS(Vendas!$F$5:$F$1004,Vendas!$B$5:$B$1004,A27,Vendas!$A$5:$A$1004,"&gt;="&amp;$C$5,Vendas!$A$5:$A$1004,"&lt;"&amp;$D$5))</f>
        <v/>
      </c>
      <c r="D27" s="18" t="str">
        <f aca="false">IF(A27="","",SUMIFS(Vendas!$I$5:$I$1004,Vendas!$B$5:$B$1004,A27,Vendas!$A$5:$A$1004,"&gt;="&amp;$C$5,Vendas!$A$5:$A$1004,"&lt;"&amp;$D$5))</f>
        <v/>
      </c>
      <c r="E27" s="19" t="str">
        <f aca="false">IF(OR(A27="",$B$8=0),"",C27/$B$8)</f>
        <v/>
      </c>
      <c r="F27" s="18" t="str">
        <f aca="false">IF(A27="","",Produtos!E11)</f>
        <v/>
      </c>
      <c r="I27" s="20" t="n">
        <f aca="false">IF(MONTH($C$5+19)=MONTH($C$5),$C$5+19,"")</f>
        <v>46285</v>
      </c>
      <c r="J27" s="21" t="n">
        <f aca="false">IF(I27="",0,SUMIFS(Vendas!$F$5:$F$1004,Vendas!$A$5:$A$1004,I27))</f>
        <v>0</v>
      </c>
    </row>
    <row r="28" customFormat="false" ht="15" hidden="false" customHeight="false" outlineLevel="0" collapsed="false">
      <c r="A28" s="28" t="str">
        <f aca="false">IF(Produtos!A12="","",Produtos!A12)</f>
        <v/>
      </c>
      <c r="B28" s="29" t="str">
        <f aca="false">IF(A28="","",SUMIFS(Vendas!$C$5:$C$1004,Vendas!$B$5:$B$1004,A28,Vendas!$A$5:$A$1004,"&gt;="&amp;$C$5,Vendas!$A$5:$A$1004,"&lt;"&amp;$D$5))</f>
        <v/>
      </c>
      <c r="C28" s="18" t="str">
        <f aca="false">IF(A28="","",SUMIFS(Vendas!$F$5:$F$1004,Vendas!$B$5:$B$1004,A28,Vendas!$A$5:$A$1004,"&gt;="&amp;$C$5,Vendas!$A$5:$A$1004,"&lt;"&amp;$D$5))</f>
        <v/>
      </c>
      <c r="D28" s="18" t="str">
        <f aca="false">IF(A28="","",SUMIFS(Vendas!$I$5:$I$1004,Vendas!$B$5:$B$1004,A28,Vendas!$A$5:$A$1004,"&gt;="&amp;$C$5,Vendas!$A$5:$A$1004,"&lt;"&amp;$D$5))</f>
        <v/>
      </c>
      <c r="E28" s="19" t="str">
        <f aca="false">IF(OR(A28="",$B$8=0),"",C28/$B$8)</f>
        <v/>
      </c>
      <c r="F28" s="18" t="str">
        <f aca="false">IF(A28="","",Produtos!E12)</f>
        <v/>
      </c>
      <c r="I28" s="20" t="n">
        <f aca="false">IF(MONTH($C$5+20)=MONTH($C$5),$C$5+20,"")</f>
        <v>46286</v>
      </c>
      <c r="J28" s="21" t="n">
        <f aca="false">IF(I28="",0,SUMIFS(Vendas!$F$5:$F$1004,Vendas!$A$5:$A$1004,I28))</f>
        <v>0</v>
      </c>
    </row>
    <row r="29" customFormat="false" ht="15" hidden="false" customHeight="false" outlineLevel="0" collapsed="false">
      <c r="A29" s="28" t="str">
        <f aca="false">IF(Produtos!A13="","",Produtos!A13)</f>
        <v/>
      </c>
      <c r="B29" s="29" t="str">
        <f aca="false">IF(A29="","",SUMIFS(Vendas!$C$5:$C$1004,Vendas!$B$5:$B$1004,A29,Vendas!$A$5:$A$1004,"&gt;="&amp;$C$5,Vendas!$A$5:$A$1004,"&lt;"&amp;$D$5))</f>
        <v/>
      </c>
      <c r="C29" s="18" t="str">
        <f aca="false">IF(A29="","",SUMIFS(Vendas!$F$5:$F$1004,Vendas!$B$5:$B$1004,A29,Vendas!$A$5:$A$1004,"&gt;="&amp;$C$5,Vendas!$A$5:$A$1004,"&lt;"&amp;$D$5))</f>
        <v/>
      </c>
      <c r="D29" s="18" t="str">
        <f aca="false">IF(A29="","",SUMIFS(Vendas!$I$5:$I$1004,Vendas!$B$5:$B$1004,A29,Vendas!$A$5:$A$1004,"&gt;="&amp;$C$5,Vendas!$A$5:$A$1004,"&lt;"&amp;$D$5))</f>
        <v/>
      </c>
      <c r="E29" s="19" t="str">
        <f aca="false">IF(OR(A29="",$B$8=0),"",C29/$B$8)</f>
        <v/>
      </c>
      <c r="F29" s="18" t="str">
        <f aca="false">IF(A29="","",Produtos!E13)</f>
        <v/>
      </c>
      <c r="I29" s="20" t="n">
        <f aca="false">IF(MONTH($C$5+21)=MONTH($C$5),$C$5+21,"")</f>
        <v>46287</v>
      </c>
      <c r="J29" s="21" t="n">
        <f aca="false">IF(I29="",0,SUMIFS(Vendas!$F$5:$F$1004,Vendas!$A$5:$A$1004,I29))</f>
        <v>0</v>
      </c>
    </row>
    <row r="30" customFormat="false" ht="15" hidden="false" customHeight="false" outlineLevel="0" collapsed="false">
      <c r="A30" s="28" t="str">
        <f aca="false">IF(Produtos!A14="","",Produtos!A14)</f>
        <v/>
      </c>
      <c r="B30" s="29" t="str">
        <f aca="false">IF(A30="","",SUMIFS(Vendas!$C$5:$C$1004,Vendas!$B$5:$B$1004,A30,Vendas!$A$5:$A$1004,"&gt;="&amp;$C$5,Vendas!$A$5:$A$1004,"&lt;"&amp;$D$5))</f>
        <v/>
      </c>
      <c r="C30" s="18" t="str">
        <f aca="false">IF(A30="","",SUMIFS(Vendas!$F$5:$F$1004,Vendas!$B$5:$B$1004,A30,Vendas!$A$5:$A$1004,"&gt;="&amp;$C$5,Vendas!$A$5:$A$1004,"&lt;"&amp;$D$5))</f>
        <v/>
      </c>
      <c r="D30" s="18" t="str">
        <f aca="false">IF(A30="","",SUMIFS(Vendas!$I$5:$I$1004,Vendas!$B$5:$B$1004,A30,Vendas!$A$5:$A$1004,"&gt;="&amp;$C$5,Vendas!$A$5:$A$1004,"&lt;"&amp;$D$5))</f>
        <v/>
      </c>
      <c r="E30" s="19" t="str">
        <f aca="false">IF(OR(A30="",$B$8=0),"",C30/$B$8)</f>
        <v/>
      </c>
      <c r="F30" s="18" t="str">
        <f aca="false">IF(A30="","",Produtos!E14)</f>
        <v/>
      </c>
      <c r="I30" s="20" t="n">
        <f aca="false">IF(MONTH($C$5+22)=MONTH($C$5),$C$5+22,"")</f>
        <v>46288</v>
      </c>
      <c r="J30" s="21" t="n">
        <f aca="false">IF(I30="",0,SUMIFS(Vendas!$F$5:$F$1004,Vendas!$A$5:$A$1004,I30))</f>
        <v>0</v>
      </c>
    </row>
    <row r="31" customFormat="false" ht="15" hidden="false" customHeight="false" outlineLevel="0" collapsed="false">
      <c r="A31" s="28" t="str">
        <f aca="false">IF(Produtos!A15="","",Produtos!A15)</f>
        <v/>
      </c>
      <c r="B31" s="29" t="str">
        <f aca="false">IF(A31="","",SUMIFS(Vendas!$C$5:$C$1004,Vendas!$B$5:$B$1004,A31,Vendas!$A$5:$A$1004,"&gt;="&amp;$C$5,Vendas!$A$5:$A$1004,"&lt;"&amp;$D$5))</f>
        <v/>
      </c>
      <c r="C31" s="18" t="str">
        <f aca="false">IF(A31="","",SUMIFS(Vendas!$F$5:$F$1004,Vendas!$B$5:$B$1004,A31,Vendas!$A$5:$A$1004,"&gt;="&amp;$C$5,Vendas!$A$5:$A$1004,"&lt;"&amp;$D$5))</f>
        <v/>
      </c>
      <c r="D31" s="18" t="str">
        <f aca="false">IF(A31="","",SUMIFS(Vendas!$I$5:$I$1004,Vendas!$B$5:$B$1004,A31,Vendas!$A$5:$A$1004,"&gt;="&amp;$C$5,Vendas!$A$5:$A$1004,"&lt;"&amp;$D$5))</f>
        <v/>
      </c>
      <c r="E31" s="19" t="str">
        <f aca="false">IF(OR(A31="",$B$8=0),"",C31/$B$8)</f>
        <v/>
      </c>
      <c r="F31" s="18" t="str">
        <f aca="false">IF(A31="","",Produtos!E15)</f>
        <v/>
      </c>
      <c r="I31" s="20" t="n">
        <f aca="false">IF(MONTH($C$5+23)=MONTH($C$5),$C$5+23,"")</f>
        <v>46289</v>
      </c>
      <c r="J31" s="21" t="n">
        <f aca="false">IF(I31="",0,SUMIFS(Vendas!$F$5:$F$1004,Vendas!$A$5:$A$1004,I31))</f>
        <v>0</v>
      </c>
    </row>
    <row r="32" customFormat="false" ht="15" hidden="false" customHeight="false" outlineLevel="0" collapsed="false">
      <c r="A32" s="28" t="str">
        <f aca="false">IF(Produtos!A16="","",Produtos!A16)</f>
        <v/>
      </c>
      <c r="B32" s="29" t="str">
        <f aca="false">IF(A32="","",SUMIFS(Vendas!$C$5:$C$1004,Vendas!$B$5:$B$1004,A32,Vendas!$A$5:$A$1004,"&gt;="&amp;$C$5,Vendas!$A$5:$A$1004,"&lt;"&amp;$D$5))</f>
        <v/>
      </c>
      <c r="C32" s="18" t="str">
        <f aca="false">IF(A32="","",SUMIFS(Vendas!$F$5:$F$1004,Vendas!$B$5:$B$1004,A32,Vendas!$A$5:$A$1004,"&gt;="&amp;$C$5,Vendas!$A$5:$A$1004,"&lt;"&amp;$D$5))</f>
        <v/>
      </c>
      <c r="D32" s="18" t="str">
        <f aca="false">IF(A32="","",SUMIFS(Vendas!$I$5:$I$1004,Vendas!$B$5:$B$1004,A32,Vendas!$A$5:$A$1004,"&gt;="&amp;$C$5,Vendas!$A$5:$A$1004,"&lt;"&amp;$D$5))</f>
        <v/>
      </c>
      <c r="E32" s="19" t="str">
        <f aca="false">IF(OR(A32="",$B$8=0),"",C32/$B$8)</f>
        <v/>
      </c>
      <c r="F32" s="18" t="str">
        <f aca="false">IF(A32="","",Produtos!E16)</f>
        <v/>
      </c>
      <c r="I32" s="20" t="n">
        <f aca="false">IF(MONTH($C$5+24)=MONTH($C$5),$C$5+24,"")</f>
        <v>46290</v>
      </c>
      <c r="J32" s="21" t="n">
        <f aca="false">IF(I32="",0,SUMIFS(Vendas!$F$5:$F$1004,Vendas!$A$5:$A$1004,I32))</f>
        <v>0</v>
      </c>
    </row>
    <row r="33" customFormat="false" ht="15" hidden="false" customHeight="false" outlineLevel="0" collapsed="false">
      <c r="A33" s="28" t="str">
        <f aca="false">IF(Produtos!A17="","",Produtos!A17)</f>
        <v/>
      </c>
      <c r="B33" s="29" t="str">
        <f aca="false">IF(A33="","",SUMIFS(Vendas!$C$5:$C$1004,Vendas!$B$5:$B$1004,A33,Vendas!$A$5:$A$1004,"&gt;="&amp;$C$5,Vendas!$A$5:$A$1004,"&lt;"&amp;$D$5))</f>
        <v/>
      </c>
      <c r="C33" s="18" t="str">
        <f aca="false">IF(A33="","",SUMIFS(Vendas!$F$5:$F$1004,Vendas!$B$5:$B$1004,A33,Vendas!$A$5:$A$1004,"&gt;="&amp;$C$5,Vendas!$A$5:$A$1004,"&lt;"&amp;$D$5))</f>
        <v/>
      </c>
      <c r="D33" s="18" t="str">
        <f aca="false">IF(A33="","",SUMIFS(Vendas!$I$5:$I$1004,Vendas!$B$5:$B$1004,A33,Vendas!$A$5:$A$1004,"&gt;="&amp;$C$5,Vendas!$A$5:$A$1004,"&lt;"&amp;$D$5))</f>
        <v/>
      </c>
      <c r="E33" s="19" t="str">
        <f aca="false">IF(OR(A33="",$B$8=0),"",C33/$B$8)</f>
        <v/>
      </c>
      <c r="F33" s="18" t="str">
        <f aca="false">IF(A33="","",Produtos!E17)</f>
        <v/>
      </c>
      <c r="I33" s="20" t="n">
        <f aca="false">IF(MONTH($C$5+25)=MONTH($C$5),$C$5+25,"")</f>
        <v>46291</v>
      </c>
      <c r="J33" s="21" t="n">
        <f aca="false">IF(I33="",0,SUMIFS(Vendas!$F$5:$F$1004,Vendas!$A$5:$A$1004,I33))</f>
        <v>0</v>
      </c>
    </row>
    <row r="34" customFormat="false" ht="15" hidden="false" customHeight="false" outlineLevel="0" collapsed="false">
      <c r="A34" s="28" t="str">
        <f aca="false">IF(Produtos!A18="","",Produtos!A18)</f>
        <v/>
      </c>
      <c r="B34" s="29" t="str">
        <f aca="false">IF(A34="","",SUMIFS(Vendas!$C$5:$C$1004,Vendas!$B$5:$B$1004,A34,Vendas!$A$5:$A$1004,"&gt;="&amp;$C$5,Vendas!$A$5:$A$1004,"&lt;"&amp;$D$5))</f>
        <v/>
      </c>
      <c r="C34" s="18" t="str">
        <f aca="false">IF(A34="","",SUMIFS(Vendas!$F$5:$F$1004,Vendas!$B$5:$B$1004,A34,Vendas!$A$5:$A$1004,"&gt;="&amp;$C$5,Vendas!$A$5:$A$1004,"&lt;"&amp;$D$5))</f>
        <v/>
      </c>
      <c r="D34" s="18" t="str">
        <f aca="false">IF(A34="","",SUMIFS(Vendas!$I$5:$I$1004,Vendas!$B$5:$B$1004,A34,Vendas!$A$5:$A$1004,"&gt;="&amp;$C$5,Vendas!$A$5:$A$1004,"&lt;"&amp;$D$5))</f>
        <v/>
      </c>
      <c r="E34" s="19" t="str">
        <f aca="false">IF(OR(A34="",$B$8=0),"",C34/$B$8)</f>
        <v/>
      </c>
      <c r="F34" s="18" t="str">
        <f aca="false">IF(A34="","",Produtos!E18)</f>
        <v/>
      </c>
      <c r="I34" s="20" t="n">
        <f aca="false">IF(MONTH($C$5+26)=MONTH($C$5),$C$5+26,"")</f>
        <v>46292</v>
      </c>
      <c r="J34" s="21" t="n">
        <f aca="false">IF(I34="",0,SUMIFS(Vendas!$F$5:$F$1004,Vendas!$A$5:$A$1004,I34))</f>
        <v>0</v>
      </c>
    </row>
    <row r="35" customFormat="false" ht="15" hidden="false" customHeight="false" outlineLevel="0" collapsed="false">
      <c r="A35" s="28" t="str">
        <f aca="false">IF(Produtos!A19="","",Produtos!A19)</f>
        <v/>
      </c>
      <c r="B35" s="29" t="str">
        <f aca="false">IF(A35="","",SUMIFS(Vendas!$C$5:$C$1004,Vendas!$B$5:$B$1004,A35,Vendas!$A$5:$A$1004,"&gt;="&amp;$C$5,Vendas!$A$5:$A$1004,"&lt;"&amp;$D$5))</f>
        <v/>
      </c>
      <c r="C35" s="18" t="str">
        <f aca="false">IF(A35="","",SUMIFS(Vendas!$F$5:$F$1004,Vendas!$B$5:$B$1004,A35,Vendas!$A$5:$A$1004,"&gt;="&amp;$C$5,Vendas!$A$5:$A$1004,"&lt;"&amp;$D$5))</f>
        <v/>
      </c>
      <c r="D35" s="18" t="str">
        <f aca="false">IF(A35="","",SUMIFS(Vendas!$I$5:$I$1004,Vendas!$B$5:$B$1004,A35,Vendas!$A$5:$A$1004,"&gt;="&amp;$C$5,Vendas!$A$5:$A$1004,"&lt;"&amp;$D$5))</f>
        <v/>
      </c>
      <c r="E35" s="19" t="str">
        <f aca="false">IF(OR(A35="",$B$8=0),"",C35/$B$8)</f>
        <v/>
      </c>
      <c r="F35" s="18" t="str">
        <f aca="false">IF(A35="","",Produtos!E19)</f>
        <v/>
      </c>
      <c r="I35" s="20" t="n">
        <f aca="false">IF(MONTH($C$5+27)=MONTH($C$5),$C$5+27,"")</f>
        <v>46293</v>
      </c>
      <c r="J35" s="21" t="n">
        <f aca="false">IF(I35="",0,SUMIFS(Vendas!$F$5:$F$1004,Vendas!$A$5:$A$1004,I35))</f>
        <v>0</v>
      </c>
    </row>
    <row r="36" customFormat="false" ht="15" hidden="false" customHeight="false" outlineLevel="0" collapsed="false">
      <c r="A36" s="28" t="str">
        <f aca="false">IF(Produtos!A20="","",Produtos!A20)</f>
        <v/>
      </c>
      <c r="B36" s="29" t="str">
        <f aca="false">IF(A36="","",SUMIFS(Vendas!$C$5:$C$1004,Vendas!$B$5:$B$1004,A36,Vendas!$A$5:$A$1004,"&gt;="&amp;$C$5,Vendas!$A$5:$A$1004,"&lt;"&amp;$D$5))</f>
        <v/>
      </c>
      <c r="C36" s="18" t="str">
        <f aca="false">IF(A36="","",SUMIFS(Vendas!$F$5:$F$1004,Vendas!$B$5:$B$1004,A36,Vendas!$A$5:$A$1004,"&gt;="&amp;$C$5,Vendas!$A$5:$A$1004,"&lt;"&amp;$D$5))</f>
        <v/>
      </c>
      <c r="D36" s="18" t="str">
        <f aca="false">IF(A36="","",SUMIFS(Vendas!$I$5:$I$1004,Vendas!$B$5:$B$1004,A36,Vendas!$A$5:$A$1004,"&gt;="&amp;$C$5,Vendas!$A$5:$A$1004,"&lt;"&amp;$D$5))</f>
        <v/>
      </c>
      <c r="E36" s="19" t="str">
        <f aca="false">IF(OR(A36="",$B$8=0),"",C36/$B$8)</f>
        <v/>
      </c>
      <c r="F36" s="18" t="str">
        <f aca="false">IF(A36="","",Produtos!E20)</f>
        <v/>
      </c>
      <c r="I36" s="20" t="n">
        <f aca="false">IF(MONTH($C$5+28)=MONTH($C$5),$C$5+28,"")</f>
        <v>46294</v>
      </c>
      <c r="J36" s="21" t="n">
        <f aca="false">IF(I36="",0,SUMIFS(Vendas!$F$5:$F$1004,Vendas!$A$5:$A$1004,I36))</f>
        <v>0</v>
      </c>
    </row>
    <row r="37" customFormat="false" ht="15" hidden="false" customHeight="false" outlineLevel="0" collapsed="false">
      <c r="A37" s="28" t="str">
        <f aca="false">IF(Produtos!A21="","",Produtos!A21)</f>
        <v/>
      </c>
      <c r="B37" s="29" t="str">
        <f aca="false">IF(A37="","",SUMIFS(Vendas!$C$5:$C$1004,Vendas!$B$5:$B$1004,A37,Vendas!$A$5:$A$1004,"&gt;="&amp;$C$5,Vendas!$A$5:$A$1004,"&lt;"&amp;$D$5))</f>
        <v/>
      </c>
      <c r="C37" s="18" t="str">
        <f aca="false">IF(A37="","",SUMIFS(Vendas!$F$5:$F$1004,Vendas!$B$5:$B$1004,A37,Vendas!$A$5:$A$1004,"&gt;="&amp;$C$5,Vendas!$A$5:$A$1004,"&lt;"&amp;$D$5))</f>
        <v/>
      </c>
      <c r="D37" s="18" t="str">
        <f aca="false">IF(A37="","",SUMIFS(Vendas!$I$5:$I$1004,Vendas!$B$5:$B$1004,A37,Vendas!$A$5:$A$1004,"&gt;="&amp;$C$5,Vendas!$A$5:$A$1004,"&lt;"&amp;$D$5))</f>
        <v/>
      </c>
      <c r="E37" s="19" t="str">
        <f aca="false">IF(OR(A37="",$B$8=0),"",C37/$B$8)</f>
        <v/>
      </c>
      <c r="F37" s="18" t="str">
        <f aca="false">IF(A37="","",Produtos!E21)</f>
        <v/>
      </c>
      <c r="I37" s="20" t="n">
        <f aca="false">IF(MONTH($C$5+29)=MONTH($C$5),$C$5+29,"")</f>
        <v>46295</v>
      </c>
      <c r="J37" s="21" t="n">
        <f aca="false">IF(I37="",0,SUMIFS(Vendas!$F$5:$F$1004,Vendas!$A$5:$A$1004,I37))</f>
        <v>0</v>
      </c>
    </row>
    <row r="38" customFormat="false" ht="15" hidden="false" customHeight="false" outlineLevel="0" collapsed="false">
      <c r="A38" s="28" t="str">
        <f aca="false">IF(Produtos!A22="","",Produtos!A22)</f>
        <v/>
      </c>
      <c r="B38" s="29" t="str">
        <f aca="false">IF(A38="","",SUMIFS(Vendas!$C$5:$C$1004,Vendas!$B$5:$B$1004,A38,Vendas!$A$5:$A$1004,"&gt;="&amp;$C$5,Vendas!$A$5:$A$1004,"&lt;"&amp;$D$5))</f>
        <v/>
      </c>
      <c r="C38" s="18" t="str">
        <f aca="false">IF(A38="","",SUMIFS(Vendas!$F$5:$F$1004,Vendas!$B$5:$B$1004,A38,Vendas!$A$5:$A$1004,"&gt;="&amp;$C$5,Vendas!$A$5:$A$1004,"&lt;"&amp;$D$5))</f>
        <v/>
      </c>
      <c r="D38" s="18" t="str">
        <f aca="false">IF(A38="","",SUMIFS(Vendas!$I$5:$I$1004,Vendas!$B$5:$B$1004,A38,Vendas!$A$5:$A$1004,"&gt;="&amp;$C$5,Vendas!$A$5:$A$1004,"&lt;"&amp;$D$5))</f>
        <v/>
      </c>
      <c r="E38" s="19" t="str">
        <f aca="false">IF(OR(A38="",$B$8=0),"",C38/$B$8)</f>
        <v/>
      </c>
      <c r="F38" s="18" t="str">
        <f aca="false">IF(A38="","",Produtos!E22)</f>
        <v/>
      </c>
      <c r="I38" s="20" t="str">
        <f aca="false">IF(MONTH($C$5+30)=MONTH($C$5),$C$5+30,"")</f>
        <v/>
      </c>
      <c r="J38" s="21" t="n">
        <f aca="false">IF(I38="",0,SUMIFS(Vendas!$F$5:$F$1004,Vendas!$A$5:$A$1004,I38))</f>
        <v>0</v>
      </c>
    </row>
    <row r="39" customFormat="false" ht="15" hidden="false" customHeight="false" outlineLevel="0" collapsed="false">
      <c r="A39" s="28" t="str">
        <f aca="false">IF(Produtos!A23="","",Produtos!A23)</f>
        <v/>
      </c>
      <c r="B39" s="29" t="str">
        <f aca="false">IF(A39="","",SUMIFS(Vendas!$C$5:$C$1004,Vendas!$B$5:$B$1004,A39,Vendas!$A$5:$A$1004,"&gt;="&amp;$C$5,Vendas!$A$5:$A$1004,"&lt;"&amp;$D$5))</f>
        <v/>
      </c>
      <c r="C39" s="18" t="str">
        <f aca="false">IF(A39="","",SUMIFS(Vendas!$F$5:$F$1004,Vendas!$B$5:$B$1004,A39,Vendas!$A$5:$A$1004,"&gt;="&amp;$C$5,Vendas!$A$5:$A$1004,"&lt;"&amp;$D$5))</f>
        <v/>
      </c>
      <c r="D39" s="18" t="str">
        <f aca="false">IF(A39="","",SUMIFS(Vendas!$I$5:$I$1004,Vendas!$B$5:$B$1004,A39,Vendas!$A$5:$A$1004,"&gt;="&amp;$C$5,Vendas!$A$5:$A$1004,"&lt;"&amp;$D$5))</f>
        <v/>
      </c>
      <c r="E39" s="19" t="str">
        <f aca="false">IF(OR(A39="",$B$8=0),"",C39/$B$8)</f>
        <v/>
      </c>
      <c r="F39" s="18" t="str">
        <f aca="false">IF(A39="","",Produtos!E23)</f>
        <v/>
      </c>
    </row>
    <row r="40" customFormat="false" ht="15" hidden="false" customHeight="false" outlineLevel="0" collapsed="false">
      <c r="A40" s="28" t="str">
        <f aca="false">IF(Produtos!A24="","",Produtos!A24)</f>
        <v/>
      </c>
      <c r="B40" s="29" t="str">
        <f aca="false">IF(A40="","",SUMIFS(Vendas!$C$5:$C$1004,Vendas!$B$5:$B$1004,A40,Vendas!$A$5:$A$1004,"&gt;="&amp;$C$5,Vendas!$A$5:$A$1004,"&lt;"&amp;$D$5))</f>
        <v/>
      </c>
      <c r="C40" s="18" t="str">
        <f aca="false">IF(A40="","",SUMIFS(Vendas!$F$5:$F$1004,Vendas!$B$5:$B$1004,A40,Vendas!$A$5:$A$1004,"&gt;="&amp;$C$5,Vendas!$A$5:$A$1004,"&lt;"&amp;$D$5))</f>
        <v/>
      </c>
      <c r="D40" s="18" t="str">
        <f aca="false">IF(A40="","",SUMIFS(Vendas!$I$5:$I$1004,Vendas!$B$5:$B$1004,A40,Vendas!$A$5:$A$1004,"&gt;="&amp;$C$5,Vendas!$A$5:$A$1004,"&lt;"&amp;$D$5))</f>
        <v/>
      </c>
      <c r="E40" s="19" t="str">
        <f aca="false">IF(OR(A40="",$B$8=0),"",C40/$B$8)</f>
        <v/>
      </c>
      <c r="F40" s="18" t="str">
        <f aca="false">IF(A40="","",Produtos!E24)</f>
        <v/>
      </c>
    </row>
    <row r="41" customFormat="false" ht="15" hidden="false" customHeight="false" outlineLevel="0" collapsed="false">
      <c r="A41" s="28" t="str">
        <f aca="false">IF(Produtos!A25="","",Produtos!A25)</f>
        <v/>
      </c>
      <c r="B41" s="29" t="str">
        <f aca="false">IF(A41="","",SUMIFS(Vendas!$C$5:$C$1004,Vendas!$B$5:$B$1004,A41,Vendas!$A$5:$A$1004,"&gt;="&amp;$C$5,Vendas!$A$5:$A$1004,"&lt;"&amp;$D$5))</f>
        <v/>
      </c>
      <c r="C41" s="18" t="str">
        <f aca="false">IF(A41="","",SUMIFS(Vendas!$F$5:$F$1004,Vendas!$B$5:$B$1004,A41,Vendas!$A$5:$A$1004,"&gt;="&amp;$C$5,Vendas!$A$5:$A$1004,"&lt;"&amp;$D$5))</f>
        <v/>
      </c>
      <c r="D41" s="18" t="str">
        <f aca="false">IF(A41="","",SUMIFS(Vendas!$I$5:$I$1004,Vendas!$B$5:$B$1004,A41,Vendas!$A$5:$A$1004,"&gt;="&amp;$C$5,Vendas!$A$5:$A$1004,"&lt;"&amp;$D$5))</f>
        <v/>
      </c>
      <c r="E41" s="19" t="str">
        <f aca="false">IF(OR(A41="",$B$8=0),"",C41/$B$8)</f>
        <v/>
      </c>
      <c r="F41" s="18" t="str">
        <f aca="false">IF(A41="","",Produtos!E25)</f>
        <v/>
      </c>
    </row>
    <row r="42" customFormat="false" ht="15" hidden="false" customHeight="false" outlineLevel="0" collapsed="false">
      <c r="A42" s="28" t="str">
        <f aca="false">IF(Produtos!A26="","",Produtos!A26)</f>
        <v/>
      </c>
      <c r="B42" s="29" t="str">
        <f aca="false">IF(A42="","",SUMIFS(Vendas!$C$5:$C$1004,Vendas!$B$5:$B$1004,A42,Vendas!$A$5:$A$1004,"&gt;="&amp;$C$5,Vendas!$A$5:$A$1004,"&lt;"&amp;$D$5))</f>
        <v/>
      </c>
      <c r="C42" s="18" t="str">
        <f aca="false">IF(A42="","",SUMIFS(Vendas!$F$5:$F$1004,Vendas!$B$5:$B$1004,A42,Vendas!$A$5:$A$1004,"&gt;="&amp;$C$5,Vendas!$A$5:$A$1004,"&lt;"&amp;$D$5))</f>
        <v/>
      </c>
      <c r="D42" s="18" t="str">
        <f aca="false">IF(A42="","",SUMIFS(Vendas!$I$5:$I$1004,Vendas!$B$5:$B$1004,A42,Vendas!$A$5:$A$1004,"&gt;="&amp;$C$5,Vendas!$A$5:$A$1004,"&lt;"&amp;$D$5))</f>
        <v/>
      </c>
      <c r="E42" s="19" t="str">
        <f aca="false">IF(OR(A42="",$B$8=0),"",C42/$B$8)</f>
        <v/>
      </c>
      <c r="F42" s="18" t="str">
        <f aca="false">IF(A42="","",Produtos!E26)</f>
        <v/>
      </c>
    </row>
    <row r="43" customFormat="false" ht="15" hidden="false" customHeight="false" outlineLevel="0" collapsed="false">
      <c r="A43" s="28" t="str">
        <f aca="false">IF(Produtos!A27="","",Produtos!A27)</f>
        <v/>
      </c>
      <c r="B43" s="29" t="str">
        <f aca="false">IF(A43="","",SUMIFS(Vendas!$C$5:$C$1004,Vendas!$B$5:$B$1004,A43,Vendas!$A$5:$A$1004,"&gt;="&amp;$C$5,Vendas!$A$5:$A$1004,"&lt;"&amp;$D$5))</f>
        <v/>
      </c>
      <c r="C43" s="18" t="str">
        <f aca="false">IF(A43="","",SUMIFS(Vendas!$F$5:$F$1004,Vendas!$B$5:$B$1004,A43,Vendas!$A$5:$A$1004,"&gt;="&amp;$C$5,Vendas!$A$5:$A$1004,"&lt;"&amp;$D$5))</f>
        <v/>
      </c>
      <c r="D43" s="18" t="str">
        <f aca="false">IF(A43="","",SUMIFS(Vendas!$I$5:$I$1004,Vendas!$B$5:$B$1004,A43,Vendas!$A$5:$A$1004,"&gt;="&amp;$C$5,Vendas!$A$5:$A$1004,"&lt;"&amp;$D$5))</f>
        <v/>
      </c>
      <c r="E43" s="19" t="str">
        <f aca="false">IF(OR(A43="",$B$8=0),"",C43/$B$8)</f>
        <v/>
      </c>
      <c r="F43" s="18" t="str">
        <f aca="false">IF(A43="","",Produtos!E27)</f>
        <v/>
      </c>
    </row>
    <row r="44" customFormat="false" ht="15" hidden="false" customHeight="false" outlineLevel="0" collapsed="false">
      <c r="A44" s="28" t="str">
        <f aca="false">IF(Produtos!A28="","",Produtos!A28)</f>
        <v/>
      </c>
      <c r="B44" s="29" t="str">
        <f aca="false">IF(A44="","",SUMIFS(Vendas!$C$5:$C$1004,Vendas!$B$5:$B$1004,A44,Vendas!$A$5:$A$1004,"&gt;="&amp;$C$5,Vendas!$A$5:$A$1004,"&lt;"&amp;$D$5))</f>
        <v/>
      </c>
      <c r="C44" s="18" t="str">
        <f aca="false">IF(A44="","",SUMIFS(Vendas!$F$5:$F$1004,Vendas!$B$5:$B$1004,A44,Vendas!$A$5:$A$1004,"&gt;="&amp;$C$5,Vendas!$A$5:$A$1004,"&lt;"&amp;$D$5))</f>
        <v/>
      </c>
      <c r="D44" s="18" t="str">
        <f aca="false">IF(A44="","",SUMIFS(Vendas!$I$5:$I$1004,Vendas!$B$5:$B$1004,A44,Vendas!$A$5:$A$1004,"&gt;="&amp;$C$5,Vendas!$A$5:$A$1004,"&lt;"&amp;$D$5))</f>
        <v/>
      </c>
      <c r="E44" s="19" t="str">
        <f aca="false">IF(OR(A44="",$B$8=0),"",C44/$B$8)</f>
        <v/>
      </c>
      <c r="F44" s="18" t="str">
        <f aca="false">IF(A44="","",Produtos!E28)</f>
        <v/>
      </c>
    </row>
    <row r="45" customFormat="false" ht="15" hidden="false" customHeight="false" outlineLevel="0" collapsed="false">
      <c r="A45" s="28" t="str">
        <f aca="false">IF(Produtos!A29="","",Produtos!A29)</f>
        <v/>
      </c>
      <c r="B45" s="29" t="str">
        <f aca="false">IF(A45="","",SUMIFS(Vendas!$C$5:$C$1004,Vendas!$B$5:$B$1004,A45,Vendas!$A$5:$A$1004,"&gt;="&amp;$C$5,Vendas!$A$5:$A$1004,"&lt;"&amp;$D$5))</f>
        <v/>
      </c>
      <c r="C45" s="18" t="str">
        <f aca="false">IF(A45="","",SUMIFS(Vendas!$F$5:$F$1004,Vendas!$B$5:$B$1004,A45,Vendas!$A$5:$A$1004,"&gt;="&amp;$C$5,Vendas!$A$5:$A$1004,"&lt;"&amp;$D$5))</f>
        <v/>
      </c>
      <c r="D45" s="18" t="str">
        <f aca="false">IF(A45="","",SUMIFS(Vendas!$I$5:$I$1004,Vendas!$B$5:$B$1004,A45,Vendas!$A$5:$A$1004,"&gt;="&amp;$C$5,Vendas!$A$5:$A$1004,"&lt;"&amp;$D$5))</f>
        <v/>
      </c>
      <c r="E45" s="19" t="str">
        <f aca="false">IF(OR(A45="",$B$8=0),"",C45/$B$8)</f>
        <v/>
      </c>
      <c r="F45" s="18" t="str">
        <f aca="false">IF(A45="","",Produtos!E29)</f>
        <v/>
      </c>
    </row>
    <row r="46" customFormat="false" ht="15" hidden="false" customHeight="false" outlineLevel="0" collapsed="false">
      <c r="A46" s="28" t="str">
        <f aca="false">IF(Produtos!A30="","",Produtos!A30)</f>
        <v/>
      </c>
      <c r="B46" s="29" t="str">
        <f aca="false">IF(A46="","",SUMIFS(Vendas!$C$5:$C$1004,Vendas!$B$5:$B$1004,A46,Vendas!$A$5:$A$1004,"&gt;="&amp;$C$5,Vendas!$A$5:$A$1004,"&lt;"&amp;$D$5))</f>
        <v/>
      </c>
      <c r="C46" s="18" t="str">
        <f aca="false">IF(A46="","",SUMIFS(Vendas!$F$5:$F$1004,Vendas!$B$5:$B$1004,A46,Vendas!$A$5:$A$1004,"&gt;="&amp;$C$5,Vendas!$A$5:$A$1004,"&lt;"&amp;$D$5))</f>
        <v/>
      </c>
      <c r="D46" s="18" t="str">
        <f aca="false">IF(A46="","",SUMIFS(Vendas!$I$5:$I$1004,Vendas!$B$5:$B$1004,A46,Vendas!$A$5:$A$1004,"&gt;="&amp;$C$5,Vendas!$A$5:$A$1004,"&lt;"&amp;$D$5))</f>
        <v/>
      </c>
      <c r="E46" s="19" t="str">
        <f aca="false">IF(OR(A46="",$B$8=0),"",C46/$B$8)</f>
        <v/>
      </c>
      <c r="F46" s="18" t="str">
        <f aca="false">IF(A46="","",Produtos!E30)</f>
        <v/>
      </c>
    </row>
    <row r="47" customFormat="false" ht="15" hidden="false" customHeight="false" outlineLevel="0" collapsed="false">
      <c r="A47" s="28" t="str">
        <f aca="false">IF(Produtos!A31="","",Produtos!A31)</f>
        <v/>
      </c>
      <c r="B47" s="29" t="str">
        <f aca="false">IF(A47="","",SUMIFS(Vendas!$C$5:$C$1004,Vendas!$B$5:$B$1004,A47,Vendas!$A$5:$A$1004,"&gt;="&amp;$C$5,Vendas!$A$5:$A$1004,"&lt;"&amp;$D$5))</f>
        <v/>
      </c>
      <c r="C47" s="18" t="str">
        <f aca="false">IF(A47="","",SUMIFS(Vendas!$F$5:$F$1004,Vendas!$B$5:$B$1004,A47,Vendas!$A$5:$A$1004,"&gt;="&amp;$C$5,Vendas!$A$5:$A$1004,"&lt;"&amp;$D$5))</f>
        <v/>
      </c>
      <c r="D47" s="18" t="str">
        <f aca="false">IF(A47="","",SUMIFS(Vendas!$I$5:$I$1004,Vendas!$B$5:$B$1004,A47,Vendas!$A$5:$A$1004,"&gt;="&amp;$C$5,Vendas!$A$5:$A$1004,"&lt;"&amp;$D$5))</f>
        <v/>
      </c>
      <c r="E47" s="19" t="str">
        <f aca="false">IF(OR(A47="",$B$8=0),"",C47/$B$8)</f>
        <v/>
      </c>
      <c r="F47" s="18" t="str">
        <f aca="false">IF(A47="","",Produtos!E31)</f>
        <v/>
      </c>
    </row>
    <row r="48" customFormat="false" ht="15" hidden="false" customHeight="false" outlineLevel="0" collapsed="false">
      <c r="A48" s="28" t="str">
        <f aca="false">IF(Produtos!A32="","",Produtos!A32)</f>
        <v/>
      </c>
      <c r="B48" s="29" t="str">
        <f aca="false">IF(A48="","",SUMIFS(Vendas!$C$5:$C$1004,Vendas!$B$5:$B$1004,A48,Vendas!$A$5:$A$1004,"&gt;="&amp;$C$5,Vendas!$A$5:$A$1004,"&lt;"&amp;$D$5))</f>
        <v/>
      </c>
      <c r="C48" s="18" t="str">
        <f aca="false">IF(A48="","",SUMIFS(Vendas!$F$5:$F$1004,Vendas!$B$5:$B$1004,A48,Vendas!$A$5:$A$1004,"&gt;="&amp;$C$5,Vendas!$A$5:$A$1004,"&lt;"&amp;$D$5))</f>
        <v/>
      </c>
      <c r="D48" s="18" t="str">
        <f aca="false">IF(A48="","",SUMIFS(Vendas!$I$5:$I$1004,Vendas!$B$5:$B$1004,A48,Vendas!$A$5:$A$1004,"&gt;="&amp;$C$5,Vendas!$A$5:$A$1004,"&lt;"&amp;$D$5))</f>
        <v/>
      </c>
      <c r="E48" s="19" t="str">
        <f aca="false">IF(OR(A48="",$B$8=0),"",C48/$B$8)</f>
        <v/>
      </c>
      <c r="F48" s="18" t="str">
        <f aca="false">IF(A48="","",Produtos!E32)</f>
        <v/>
      </c>
    </row>
    <row r="49" customFormat="false" ht="15" hidden="false" customHeight="false" outlineLevel="0" collapsed="false">
      <c r="A49" s="28" t="str">
        <f aca="false">IF(Produtos!A33="","",Produtos!A33)</f>
        <v/>
      </c>
      <c r="B49" s="29" t="str">
        <f aca="false">IF(A49="","",SUMIFS(Vendas!$C$5:$C$1004,Vendas!$B$5:$B$1004,A49,Vendas!$A$5:$A$1004,"&gt;="&amp;$C$5,Vendas!$A$5:$A$1004,"&lt;"&amp;$D$5))</f>
        <v/>
      </c>
      <c r="C49" s="18" t="str">
        <f aca="false">IF(A49="","",SUMIFS(Vendas!$F$5:$F$1004,Vendas!$B$5:$B$1004,A49,Vendas!$A$5:$A$1004,"&gt;="&amp;$C$5,Vendas!$A$5:$A$1004,"&lt;"&amp;$D$5))</f>
        <v/>
      </c>
      <c r="D49" s="18" t="str">
        <f aca="false">IF(A49="","",SUMIFS(Vendas!$I$5:$I$1004,Vendas!$B$5:$B$1004,A49,Vendas!$A$5:$A$1004,"&gt;="&amp;$C$5,Vendas!$A$5:$A$1004,"&lt;"&amp;$D$5))</f>
        <v/>
      </c>
      <c r="E49" s="19" t="str">
        <f aca="false">IF(OR(A49="",$B$8=0),"",C49/$B$8)</f>
        <v/>
      </c>
      <c r="F49" s="18" t="str">
        <f aca="false">IF(A49="","",Produtos!E33)</f>
        <v/>
      </c>
    </row>
    <row r="50" customFormat="false" ht="15" hidden="false" customHeight="false" outlineLevel="0" collapsed="false">
      <c r="A50" s="28" t="str">
        <f aca="false">IF(Produtos!A34="","",Produtos!A34)</f>
        <v/>
      </c>
      <c r="B50" s="29" t="str">
        <f aca="false">IF(A50="","",SUMIFS(Vendas!$C$5:$C$1004,Vendas!$B$5:$B$1004,A50,Vendas!$A$5:$A$1004,"&gt;="&amp;$C$5,Vendas!$A$5:$A$1004,"&lt;"&amp;$D$5))</f>
        <v/>
      </c>
      <c r="C50" s="18" t="str">
        <f aca="false">IF(A50="","",SUMIFS(Vendas!$F$5:$F$1004,Vendas!$B$5:$B$1004,A50,Vendas!$A$5:$A$1004,"&gt;="&amp;$C$5,Vendas!$A$5:$A$1004,"&lt;"&amp;$D$5))</f>
        <v/>
      </c>
      <c r="D50" s="18" t="str">
        <f aca="false">IF(A50="","",SUMIFS(Vendas!$I$5:$I$1004,Vendas!$B$5:$B$1004,A50,Vendas!$A$5:$A$1004,"&gt;="&amp;$C$5,Vendas!$A$5:$A$1004,"&lt;"&amp;$D$5))</f>
        <v/>
      </c>
      <c r="E50" s="19" t="str">
        <f aca="false">IF(OR(A50="",$B$8=0),"",C50/$B$8)</f>
        <v/>
      </c>
      <c r="F50" s="18" t="str">
        <f aca="false">IF(A50="","",Produtos!E34)</f>
        <v/>
      </c>
    </row>
    <row r="51" customFormat="false" ht="15" hidden="false" customHeight="false" outlineLevel="0" collapsed="false">
      <c r="A51" s="28" t="str">
        <f aca="false">IF(Produtos!A35="","",Produtos!A35)</f>
        <v/>
      </c>
      <c r="B51" s="29" t="str">
        <f aca="false">IF(A51="","",SUMIFS(Vendas!$C$5:$C$1004,Vendas!$B$5:$B$1004,A51,Vendas!$A$5:$A$1004,"&gt;="&amp;$C$5,Vendas!$A$5:$A$1004,"&lt;"&amp;$D$5))</f>
        <v/>
      </c>
      <c r="C51" s="18" t="str">
        <f aca="false">IF(A51="","",SUMIFS(Vendas!$F$5:$F$1004,Vendas!$B$5:$B$1004,A51,Vendas!$A$5:$A$1004,"&gt;="&amp;$C$5,Vendas!$A$5:$A$1004,"&lt;"&amp;$D$5))</f>
        <v/>
      </c>
      <c r="D51" s="18" t="str">
        <f aca="false">IF(A51="","",SUMIFS(Vendas!$I$5:$I$1004,Vendas!$B$5:$B$1004,A51,Vendas!$A$5:$A$1004,"&gt;="&amp;$C$5,Vendas!$A$5:$A$1004,"&lt;"&amp;$D$5))</f>
        <v/>
      </c>
      <c r="E51" s="19" t="str">
        <f aca="false">IF(OR(A51="",$B$8=0),"",C51/$B$8)</f>
        <v/>
      </c>
      <c r="F51" s="18" t="str">
        <f aca="false">IF(A51="","",Produtos!E35)</f>
        <v/>
      </c>
    </row>
    <row r="52" customFormat="false" ht="15" hidden="false" customHeight="false" outlineLevel="0" collapsed="false">
      <c r="A52" s="28" t="str">
        <f aca="false">IF(Produtos!A36="","",Produtos!A36)</f>
        <v/>
      </c>
      <c r="B52" s="29" t="str">
        <f aca="false">IF(A52="","",SUMIFS(Vendas!$C$5:$C$1004,Vendas!$B$5:$B$1004,A52,Vendas!$A$5:$A$1004,"&gt;="&amp;$C$5,Vendas!$A$5:$A$1004,"&lt;"&amp;$D$5))</f>
        <v/>
      </c>
      <c r="C52" s="18" t="str">
        <f aca="false">IF(A52="","",SUMIFS(Vendas!$F$5:$F$1004,Vendas!$B$5:$B$1004,A52,Vendas!$A$5:$A$1004,"&gt;="&amp;$C$5,Vendas!$A$5:$A$1004,"&lt;"&amp;$D$5))</f>
        <v/>
      </c>
      <c r="D52" s="18" t="str">
        <f aca="false">IF(A52="","",SUMIFS(Vendas!$I$5:$I$1004,Vendas!$B$5:$B$1004,A52,Vendas!$A$5:$A$1004,"&gt;="&amp;$C$5,Vendas!$A$5:$A$1004,"&lt;"&amp;$D$5))</f>
        <v/>
      </c>
      <c r="E52" s="19" t="str">
        <f aca="false">IF(OR(A52="",$B$8=0),"",C52/$B$8)</f>
        <v/>
      </c>
      <c r="F52" s="18" t="str">
        <f aca="false">IF(A52="","",Produtos!E36)</f>
        <v/>
      </c>
    </row>
    <row r="53" customFormat="false" ht="15" hidden="false" customHeight="false" outlineLevel="0" collapsed="false">
      <c r="A53" s="28" t="str">
        <f aca="false">IF(Produtos!A37="","",Produtos!A37)</f>
        <v/>
      </c>
      <c r="B53" s="29" t="str">
        <f aca="false">IF(A53="","",SUMIFS(Vendas!$C$5:$C$1004,Vendas!$B$5:$B$1004,A53,Vendas!$A$5:$A$1004,"&gt;="&amp;$C$5,Vendas!$A$5:$A$1004,"&lt;"&amp;$D$5))</f>
        <v/>
      </c>
      <c r="C53" s="18" t="str">
        <f aca="false">IF(A53="","",SUMIFS(Vendas!$F$5:$F$1004,Vendas!$B$5:$B$1004,A53,Vendas!$A$5:$A$1004,"&gt;="&amp;$C$5,Vendas!$A$5:$A$1004,"&lt;"&amp;$D$5))</f>
        <v/>
      </c>
      <c r="D53" s="18" t="str">
        <f aca="false">IF(A53="","",SUMIFS(Vendas!$I$5:$I$1004,Vendas!$B$5:$B$1004,A53,Vendas!$A$5:$A$1004,"&gt;="&amp;$C$5,Vendas!$A$5:$A$1004,"&lt;"&amp;$D$5))</f>
        <v/>
      </c>
      <c r="E53" s="19" t="str">
        <f aca="false">IF(OR(A53="",$B$8=0),"",C53/$B$8)</f>
        <v/>
      </c>
      <c r="F53" s="18" t="str">
        <f aca="false">IF(A53="","",Produtos!E37)</f>
        <v/>
      </c>
    </row>
    <row r="54" customFormat="false" ht="15" hidden="false" customHeight="false" outlineLevel="0" collapsed="false">
      <c r="A54" s="28" t="str">
        <f aca="false">IF(Produtos!A38="","",Produtos!A38)</f>
        <v/>
      </c>
      <c r="B54" s="29" t="str">
        <f aca="false">IF(A54="","",SUMIFS(Vendas!$C$5:$C$1004,Vendas!$B$5:$B$1004,A54,Vendas!$A$5:$A$1004,"&gt;="&amp;$C$5,Vendas!$A$5:$A$1004,"&lt;"&amp;$D$5))</f>
        <v/>
      </c>
      <c r="C54" s="18" t="str">
        <f aca="false">IF(A54="","",SUMIFS(Vendas!$F$5:$F$1004,Vendas!$B$5:$B$1004,A54,Vendas!$A$5:$A$1004,"&gt;="&amp;$C$5,Vendas!$A$5:$A$1004,"&lt;"&amp;$D$5))</f>
        <v/>
      </c>
      <c r="D54" s="18" t="str">
        <f aca="false">IF(A54="","",SUMIFS(Vendas!$I$5:$I$1004,Vendas!$B$5:$B$1004,A54,Vendas!$A$5:$A$1004,"&gt;="&amp;$C$5,Vendas!$A$5:$A$1004,"&lt;"&amp;$D$5))</f>
        <v/>
      </c>
      <c r="E54" s="19" t="str">
        <f aca="false">IF(OR(A54="",$B$8=0),"",C54/$B$8)</f>
        <v/>
      </c>
      <c r="F54" s="18" t="str">
        <f aca="false">IF(A54="","",Produtos!E38)</f>
        <v/>
      </c>
    </row>
    <row r="55" customFormat="false" ht="15" hidden="false" customHeight="false" outlineLevel="0" collapsed="false">
      <c r="A55" s="28" t="str">
        <f aca="false">IF(Produtos!A39="","",Produtos!A39)</f>
        <v/>
      </c>
      <c r="B55" s="29" t="str">
        <f aca="false">IF(A55="","",SUMIFS(Vendas!$C$5:$C$1004,Vendas!$B$5:$B$1004,A55,Vendas!$A$5:$A$1004,"&gt;="&amp;$C$5,Vendas!$A$5:$A$1004,"&lt;"&amp;$D$5))</f>
        <v/>
      </c>
      <c r="C55" s="18" t="str">
        <f aca="false">IF(A55="","",SUMIFS(Vendas!$F$5:$F$1004,Vendas!$B$5:$B$1004,A55,Vendas!$A$5:$A$1004,"&gt;="&amp;$C$5,Vendas!$A$5:$A$1004,"&lt;"&amp;$D$5))</f>
        <v/>
      </c>
      <c r="D55" s="18" t="str">
        <f aca="false">IF(A55="","",SUMIFS(Vendas!$I$5:$I$1004,Vendas!$B$5:$B$1004,A55,Vendas!$A$5:$A$1004,"&gt;="&amp;$C$5,Vendas!$A$5:$A$1004,"&lt;"&amp;$D$5))</f>
        <v/>
      </c>
      <c r="E55" s="19" t="str">
        <f aca="false">IF(OR(A55="",$B$8=0),"",C55/$B$8)</f>
        <v/>
      </c>
      <c r="F55" s="18" t="str">
        <f aca="false">IF(A55="","",Produtos!E39)</f>
        <v/>
      </c>
    </row>
    <row r="56" customFormat="false" ht="15" hidden="false" customHeight="false" outlineLevel="0" collapsed="false">
      <c r="A56" s="28" t="str">
        <f aca="false">IF(Produtos!A40="","",Produtos!A40)</f>
        <v/>
      </c>
      <c r="B56" s="29" t="str">
        <f aca="false">IF(A56="","",SUMIFS(Vendas!$C$5:$C$1004,Vendas!$B$5:$B$1004,A56,Vendas!$A$5:$A$1004,"&gt;="&amp;$C$5,Vendas!$A$5:$A$1004,"&lt;"&amp;$D$5))</f>
        <v/>
      </c>
      <c r="C56" s="18" t="str">
        <f aca="false">IF(A56="","",SUMIFS(Vendas!$F$5:$F$1004,Vendas!$B$5:$B$1004,A56,Vendas!$A$5:$A$1004,"&gt;="&amp;$C$5,Vendas!$A$5:$A$1004,"&lt;"&amp;$D$5))</f>
        <v/>
      </c>
      <c r="D56" s="18" t="str">
        <f aca="false">IF(A56="","",SUMIFS(Vendas!$I$5:$I$1004,Vendas!$B$5:$B$1004,A56,Vendas!$A$5:$A$1004,"&gt;="&amp;$C$5,Vendas!$A$5:$A$1004,"&lt;"&amp;$D$5))</f>
        <v/>
      </c>
      <c r="E56" s="19" t="str">
        <f aca="false">IF(OR(A56="",$B$8=0),"",C56/$B$8)</f>
        <v/>
      </c>
      <c r="F56" s="18" t="str">
        <f aca="false">IF(A56="","",Produtos!E40)</f>
        <v/>
      </c>
    </row>
    <row r="57" customFormat="false" ht="15" hidden="false" customHeight="false" outlineLevel="0" collapsed="false">
      <c r="A57" s="28" t="str">
        <f aca="false">IF(Produtos!A41="","",Produtos!A41)</f>
        <v/>
      </c>
      <c r="B57" s="29" t="str">
        <f aca="false">IF(A57="","",SUMIFS(Vendas!$C$5:$C$1004,Vendas!$B$5:$B$1004,A57,Vendas!$A$5:$A$1004,"&gt;="&amp;$C$5,Vendas!$A$5:$A$1004,"&lt;"&amp;$D$5))</f>
        <v/>
      </c>
      <c r="C57" s="18" t="str">
        <f aca="false">IF(A57="","",SUMIFS(Vendas!$F$5:$F$1004,Vendas!$B$5:$B$1004,A57,Vendas!$A$5:$A$1004,"&gt;="&amp;$C$5,Vendas!$A$5:$A$1004,"&lt;"&amp;$D$5))</f>
        <v/>
      </c>
      <c r="D57" s="18" t="str">
        <f aca="false">IF(A57="","",SUMIFS(Vendas!$I$5:$I$1004,Vendas!$B$5:$B$1004,A57,Vendas!$A$5:$A$1004,"&gt;="&amp;$C$5,Vendas!$A$5:$A$1004,"&lt;"&amp;$D$5))</f>
        <v/>
      </c>
      <c r="E57" s="19" t="str">
        <f aca="false">IF(OR(A57="",$B$8=0),"",C57/$B$8)</f>
        <v/>
      </c>
      <c r="F57" s="18" t="str">
        <f aca="false">IF(A57="","",Produtos!E41)</f>
        <v/>
      </c>
    </row>
    <row r="58" customFormat="false" ht="15" hidden="false" customHeight="false" outlineLevel="0" collapsed="false">
      <c r="A58" s="28" t="str">
        <f aca="false">IF(Produtos!A42="","",Produtos!A42)</f>
        <v/>
      </c>
      <c r="B58" s="29" t="str">
        <f aca="false">IF(A58="","",SUMIFS(Vendas!$C$5:$C$1004,Vendas!$B$5:$B$1004,A58,Vendas!$A$5:$A$1004,"&gt;="&amp;$C$5,Vendas!$A$5:$A$1004,"&lt;"&amp;$D$5))</f>
        <v/>
      </c>
      <c r="C58" s="18" t="str">
        <f aca="false">IF(A58="","",SUMIFS(Vendas!$F$5:$F$1004,Vendas!$B$5:$B$1004,A58,Vendas!$A$5:$A$1004,"&gt;="&amp;$C$5,Vendas!$A$5:$A$1004,"&lt;"&amp;$D$5))</f>
        <v/>
      </c>
      <c r="D58" s="18" t="str">
        <f aca="false">IF(A58="","",SUMIFS(Vendas!$I$5:$I$1004,Vendas!$B$5:$B$1004,A58,Vendas!$A$5:$A$1004,"&gt;="&amp;$C$5,Vendas!$A$5:$A$1004,"&lt;"&amp;$D$5))</f>
        <v/>
      </c>
      <c r="E58" s="19" t="str">
        <f aca="false">IF(OR(A58="",$B$8=0),"",C58/$B$8)</f>
        <v/>
      </c>
      <c r="F58" s="18" t="str">
        <f aca="false">IF(A58="","",Produtos!E42)</f>
        <v/>
      </c>
    </row>
    <row r="59" customFormat="false" ht="15" hidden="false" customHeight="false" outlineLevel="0" collapsed="false">
      <c r="A59" s="28" t="str">
        <f aca="false">IF(Produtos!A43="","",Produtos!A43)</f>
        <v/>
      </c>
      <c r="B59" s="29" t="str">
        <f aca="false">IF(A59="","",SUMIFS(Vendas!$C$5:$C$1004,Vendas!$B$5:$B$1004,A59,Vendas!$A$5:$A$1004,"&gt;="&amp;$C$5,Vendas!$A$5:$A$1004,"&lt;"&amp;$D$5))</f>
        <v/>
      </c>
      <c r="C59" s="18" t="str">
        <f aca="false">IF(A59="","",SUMIFS(Vendas!$F$5:$F$1004,Vendas!$B$5:$B$1004,A59,Vendas!$A$5:$A$1004,"&gt;="&amp;$C$5,Vendas!$A$5:$A$1004,"&lt;"&amp;$D$5))</f>
        <v/>
      </c>
      <c r="D59" s="18" t="str">
        <f aca="false">IF(A59="","",SUMIFS(Vendas!$I$5:$I$1004,Vendas!$B$5:$B$1004,A59,Vendas!$A$5:$A$1004,"&gt;="&amp;$C$5,Vendas!$A$5:$A$1004,"&lt;"&amp;$D$5))</f>
        <v/>
      </c>
      <c r="E59" s="19" t="str">
        <f aca="false">IF(OR(A59="",$B$8=0),"",C59/$B$8)</f>
        <v/>
      </c>
      <c r="F59" s="18" t="str">
        <f aca="false">IF(A59="","",Produtos!E43)</f>
        <v/>
      </c>
    </row>
    <row r="60" customFormat="false" ht="15" hidden="false" customHeight="false" outlineLevel="0" collapsed="false">
      <c r="A60" s="28" t="str">
        <f aca="false">IF(Produtos!A44="","",Produtos!A44)</f>
        <v/>
      </c>
      <c r="B60" s="29" t="str">
        <f aca="false">IF(A60="","",SUMIFS(Vendas!$C$5:$C$1004,Vendas!$B$5:$B$1004,A60,Vendas!$A$5:$A$1004,"&gt;="&amp;$C$5,Vendas!$A$5:$A$1004,"&lt;"&amp;$D$5))</f>
        <v/>
      </c>
      <c r="C60" s="18" t="str">
        <f aca="false">IF(A60="","",SUMIFS(Vendas!$F$5:$F$1004,Vendas!$B$5:$B$1004,A60,Vendas!$A$5:$A$1004,"&gt;="&amp;$C$5,Vendas!$A$5:$A$1004,"&lt;"&amp;$D$5))</f>
        <v/>
      </c>
      <c r="D60" s="18" t="str">
        <f aca="false">IF(A60="","",SUMIFS(Vendas!$I$5:$I$1004,Vendas!$B$5:$B$1004,A60,Vendas!$A$5:$A$1004,"&gt;="&amp;$C$5,Vendas!$A$5:$A$1004,"&lt;"&amp;$D$5))</f>
        <v/>
      </c>
      <c r="E60" s="19" t="str">
        <f aca="false">IF(OR(A60="",$B$8=0),"",C60/$B$8)</f>
        <v/>
      </c>
      <c r="F60" s="18" t="str">
        <f aca="false">IF(A60="","",Produtos!E44)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8171C"/>
    <pageSetUpPr fitToPage="false"/>
  </sheetPr>
  <dimension ref="A1:K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3" min="2" style="0" width="16"/>
    <col collapsed="false" customWidth="true" hidden="false" outlineLevel="0" max="5" min="4" style="0" width="18"/>
    <col collapsed="false" customWidth="true" hidden="false" outlineLevel="0" max="6" min="6" style="0" width="10"/>
  </cols>
  <sheetData>
    <row r="1" customFormat="false" ht="25.5" hidden="false" customHeight="true" outlineLevel="0" collapsed="false">
      <c r="A1" s="1" t="s">
        <v>50</v>
      </c>
    </row>
    <row r="2" customFormat="false" ht="15" hidden="false" customHeight="false" outlineLevel="0" collapsed="false">
      <c r="A2" s="2" t="s">
        <v>51</v>
      </c>
    </row>
    <row r="3" customFormat="false" ht="3.75" hidden="false" customHeight="tru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customFormat="false" ht="30" hidden="false" customHeight="true" outlineLevel="0" collapsed="false">
      <c r="A4" s="14" t="s">
        <v>45</v>
      </c>
      <c r="B4" s="14" t="s">
        <v>52</v>
      </c>
      <c r="C4" s="14" t="s">
        <v>53</v>
      </c>
      <c r="D4" s="14" t="s">
        <v>54</v>
      </c>
      <c r="E4" s="14" t="s">
        <v>55</v>
      </c>
      <c r="F4" s="14" t="s">
        <v>56</v>
      </c>
    </row>
    <row r="5" customFormat="false" ht="15" hidden="false" customHeight="false" outlineLevel="0" collapsed="false">
      <c r="A5" s="30"/>
      <c r="B5" s="30"/>
      <c r="C5" s="31"/>
      <c r="D5" s="31"/>
      <c r="E5" s="16" t="str">
        <f aca="false">IF(A5="","",C5-D5)</f>
        <v/>
      </c>
      <c r="F5" s="25" t="str">
        <f aca="false">IF(OR(A5="",C5=0),"",E5/C5)</f>
        <v/>
      </c>
    </row>
    <row r="6" customFormat="false" ht="15" hidden="false" customHeight="false" outlineLevel="0" collapsed="false">
      <c r="A6" s="30"/>
      <c r="B6" s="30"/>
      <c r="C6" s="31"/>
      <c r="D6" s="31"/>
      <c r="E6" s="16" t="str">
        <f aca="false">IF(A6="","",C6-D6)</f>
        <v/>
      </c>
      <c r="F6" s="25" t="str">
        <f aca="false">IF(OR(A6="",C6=0),"",E6/C6)</f>
        <v/>
      </c>
    </row>
    <row r="7" customFormat="false" ht="15" hidden="false" customHeight="false" outlineLevel="0" collapsed="false">
      <c r="A7" s="30"/>
      <c r="B7" s="30"/>
      <c r="C7" s="31"/>
      <c r="D7" s="31"/>
      <c r="E7" s="16" t="str">
        <f aca="false">IF(A7="","",C7-D7)</f>
        <v/>
      </c>
      <c r="F7" s="25" t="str">
        <f aca="false">IF(OR(A7="",C7=0),"",E7/C7)</f>
        <v/>
      </c>
    </row>
    <row r="8" customFormat="false" ht="15" hidden="false" customHeight="false" outlineLevel="0" collapsed="false">
      <c r="A8" s="30"/>
      <c r="B8" s="30"/>
      <c r="C8" s="31"/>
      <c r="D8" s="31"/>
      <c r="E8" s="16" t="str">
        <f aca="false">IF(A8="","",C8-D8)</f>
        <v/>
      </c>
      <c r="F8" s="25" t="str">
        <f aca="false">IF(OR(A8="",C8=0),"",E8/C8)</f>
        <v/>
      </c>
    </row>
    <row r="9" customFormat="false" ht="15" hidden="false" customHeight="false" outlineLevel="0" collapsed="false">
      <c r="A9" s="30"/>
      <c r="B9" s="30"/>
      <c r="C9" s="31"/>
      <c r="D9" s="31"/>
      <c r="E9" s="16" t="str">
        <f aca="false">IF(A9="","",C9-D9)</f>
        <v/>
      </c>
      <c r="F9" s="25" t="str">
        <f aca="false">IF(OR(A9="",C9=0),"",E9/C9)</f>
        <v/>
      </c>
    </row>
    <row r="10" customFormat="false" ht="15" hidden="false" customHeight="false" outlineLevel="0" collapsed="false">
      <c r="A10" s="30"/>
      <c r="B10" s="30"/>
      <c r="C10" s="31"/>
      <c r="D10" s="31"/>
      <c r="E10" s="16" t="str">
        <f aca="false">IF(A10="","",C10-D10)</f>
        <v/>
      </c>
      <c r="F10" s="25" t="str">
        <f aca="false">IF(OR(A10="",C10=0),"",E10/C10)</f>
        <v/>
      </c>
    </row>
    <row r="11" customFormat="false" ht="15" hidden="false" customHeight="false" outlineLevel="0" collapsed="false">
      <c r="A11" s="30"/>
      <c r="B11" s="30"/>
      <c r="C11" s="31"/>
      <c r="D11" s="31"/>
      <c r="E11" s="16" t="str">
        <f aca="false">IF(A11="","",C11-D11)</f>
        <v/>
      </c>
      <c r="F11" s="25" t="str">
        <f aca="false">IF(OR(A11="",C11=0),"",E11/C11)</f>
        <v/>
      </c>
    </row>
    <row r="12" customFormat="false" ht="15" hidden="false" customHeight="false" outlineLevel="0" collapsed="false">
      <c r="A12" s="30"/>
      <c r="B12" s="30"/>
      <c r="C12" s="31"/>
      <c r="D12" s="31"/>
      <c r="E12" s="16" t="str">
        <f aca="false">IF(A12="","",C12-D12)</f>
        <v/>
      </c>
      <c r="F12" s="25" t="str">
        <f aca="false">IF(OR(A12="",C12=0),"",E12/C12)</f>
        <v/>
      </c>
    </row>
    <row r="13" customFormat="false" ht="15" hidden="false" customHeight="false" outlineLevel="0" collapsed="false">
      <c r="A13" s="30"/>
      <c r="B13" s="30"/>
      <c r="C13" s="31"/>
      <c r="D13" s="31"/>
      <c r="E13" s="16" t="str">
        <f aca="false">IF(A13="","",C13-D13)</f>
        <v/>
      </c>
      <c r="F13" s="25" t="str">
        <f aca="false">IF(OR(A13="",C13=0),"",E13/C13)</f>
        <v/>
      </c>
    </row>
    <row r="14" customFormat="false" ht="15" hidden="false" customHeight="false" outlineLevel="0" collapsed="false">
      <c r="A14" s="30"/>
      <c r="B14" s="30"/>
      <c r="C14" s="31"/>
      <c r="D14" s="31"/>
      <c r="E14" s="16" t="str">
        <f aca="false">IF(A14="","",C14-D14)</f>
        <v/>
      </c>
      <c r="F14" s="25" t="str">
        <f aca="false">IF(OR(A14="",C14=0),"",E14/C14)</f>
        <v/>
      </c>
    </row>
    <row r="15" customFormat="false" ht="15" hidden="false" customHeight="false" outlineLevel="0" collapsed="false">
      <c r="A15" s="30"/>
      <c r="B15" s="30"/>
      <c r="C15" s="31"/>
      <c r="D15" s="31"/>
      <c r="E15" s="16" t="str">
        <f aca="false">IF(A15="","",C15-D15)</f>
        <v/>
      </c>
      <c r="F15" s="25" t="str">
        <f aca="false">IF(OR(A15="",C15=0),"",E15/C15)</f>
        <v/>
      </c>
    </row>
    <row r="16" customFormat="false" ht="15" hidden="false" customHeight="false" outlineLevel="0" collapsed="false">
      <c r="A16" s="30"/>
      <c r="B16" s="30"/>
      <c r="C16" s="31"/>
      <c r="D16" s="31"/>
      <c r="E16" s="16" t="str">
        <f aca="false">IF(A16="","",C16-D16)</f>
        <v/>
      </c>
      <c r="F16" s="25" t="str">
        <f aca="false">IF(OR(A16="",C16=0),"",E16/C16)</f>
        <v/>
      </c>
    </row>
    <row r="17" customFormat="false" ht="15" hidden="false" customHeight="false" outlineLevel="0" collapsed="false">
      <c r="A17" s="30"/>
      <c r="B17" s="30"/>
      <c r="C17" s="31"/>
      <c r="D17" s="31"/>
      <c r="E17" s="16" t="str">
        <f aca="false">IF(A17="","",C17-D17)</f>
        <v/>
      </c>
      <c r="F17" s="25" t="str">
        <f aca="false">IF(OR(A17="",C17=0),"",E17/C17)</f>
        <v/>
      </c>
    </row>
    <row r="18" customFormat="false" ht="15" hidden="false" customHeight="false" outlineLevel="0" collapsed="false">
      <c r="A18" s="30"/>
      <c r="B18" s="30"/>
      <c r="C18" s="31"/>
      <c r="D18" s="31"/>
      <c r="E18" s="16" t="str">
        <f aca="false">IF(A18="","",C18-D18)</f>
        <v/>
      </c>
      <c r="F18" s="25" t="str">
        <f aca="false">IF(OR(A18="",C18=0),"",E18/C18)</f>
        <v/>
      </c>
    </row>
    <row r="19" customFormat="false" ht="15" hidden="false" customHeight="false" outlineLevel="0" collapsed="false">
      <c r="A19" s="30"/>
      <c r="B19" s="30"/>
      <c r="C19" s="31"/>
      <c r="D19" s="31"/>
      <c r="E19" s="16" t="str">
        <f aca="false">IF(A19="","",C19-D19)</f>
        <v/>
      </c>
      <c r="F19" s="25" t="str">
        <f aca="false">IF(OR(A19="",C19=0),"",E19/C19)</f>
        <v/>
      </c>
    </row>
    <row r="20" customFormat="false" ht="15" hidden="false" customHeight="false" outlineLevel="0" collapsed="false">
      <c r="A20" s="30"/>
      <c r="B20" s="30"/>
      <c r="C20" s="31"/>
      <c r="D20" s="31"/>
      <c r="E20" s="16" t="str">
        <f aca="false">IF(A20="","",C20-D20)</f>
        <v/>
      </c>
      <c r="F20" s="25" t="str">
        <f aca="false">IF(OR(A20="",C20=0),"",E20/C20)</f>
        <v/>
      </c>
    </row>
    <row r="21" customFormat="false" ht="15" hidden="false" customHeight="false" outlineLevel="0" collapsed="false">
      <c r="A21" s="30"/>
      <c r="B21" s="30"/>
      <c r="C21" s="31"/>
      <c r="D21" s="31"/>
      <c r="E21" s="16" t="str">
        <f aca="false">IF(A21="","",C21-D21)</f>
        <v/>
      </c>
      <c r="F21" s="25" t="str">
        <f aca="false">IF(OR(A21="",C21=0),"",E21/C21)</f>
        <v/>
      </c>
    </row>
    <row r="22" customFormat="false" ht="15" hidden="false" customHeight="false" outlineLevel="0" collapsed="false">
      <c r="A22" s="30"/>
      <c r="B22" s="30"/>
      <c r="C22" s="31"/>
      <c r="D22" s="31"/>
      <c r="E22" s="16" t="str">
        <f aca="false">IF(A22="","",C22-D22)</f>
        <v/>
      </c>
      <c r="F22" s="25" t="str">
        <f aca="false">IF(OR(A22="",C22=0),"",E22/C22)</f>
        <v/>
      </c>
    </row>
    <row r="23" customFormat="false" ht="15" hidden="false" customHeight="false" outlineLevel="0" collapsed="false">
      <c r="A23" s="30"/>
      <c r="B23" s="30"/>
      <c r="C23" s="31"/>
      <c r="D23" s="31"/>
      <c r="E23" s="16" t="str">
        <f aca="false">IF(A23="","",C23-D23)</f>
        <v/>
      </c>
      <c r="F23" s="25" t="str">
        <f aca="false">IF(OR(A23="",C23=0),"",E23/C23)</f>
        <v/>
      </c>
    </row>
    <row r="24" customFormat="false" ht="15" hidden="false" customHeight="false" outlineLevel="0" collapsed="false">
      <c r="A24" s="30"/>
      <c r="B24" s="30"/>
      <c r="C24" s="31"/>
      <c r="D24" s="31"/>
      <c r="E24" s="16" t="str">
        <f aca="false">IF(A24="","",C24-D24)</f>
        <v/>
      </c>
      <c r="F24" s="25" t="str">
        <f aca="false">IF(OR(A24="",C24=0),"",E24/C24)</f>
        <v/>
      </c>
    </row>
    <row r="25" customFormat="false" ht="15" hidden="false" customHeight="false" outlineLevel="0" collapsed="false">
      <c r="A25" s="30"/>
      <c r="B25" s="30"/>
      <c r="C25" s="31"/>
      <c r="D25" s="31"/>
      <c r="E25" s="16" t="str">
        <f aca="false">IF(A25="","",C25-D25)</f>
        <v/>
      </c>
      <c r="F25" s="25" t="str">
        <f aca="false">IF(OR(A25="",C25=0),"",E25/C25)</f>
        <v/>
      </c>
    </row>
    <row r="26" customFormat="false" ht="15" hidden="false" customHeight="false" outlineLevel="0" collapsed="false">
      <c r="A26" s="30"/>
      <c r="B26" s="30"/>
      <c r="C26" s="31"/>
      <c r="D26" s="31"/>
      <c r="E26" s="16" t="str">
        <f aca="false">IF(A26="","",C26-D26)</f>
        <v/>
      </c>
      <c r="F26" s="25" t="str">
        <f aca="false">IF(OR(A26="",C26=0),"",E26/C26)</f>
        <v/>
      </c>
    </row>
    <row r="27" customFormat="false" ht="15" hidden="false" customHeight="false" outlineLevel="0" collapsed="false">
      <c r="A27" s="30"/>
      <c r="B27" s="30"/>
      <c r="C27" s="31"/>
      <c r="D27" s="31"/>
      <c r="E27" s="16" t="str">
        <f aca="false">IF(A27="","",C27-D27)</f>
        <v/>
      </c>
      <c r="F27" s="25" t="str">
        <f aca="false">IF(OR(A27="",C27=0),"",E27/C27)</f>
        <v/>
      </c>
    </row>
    <row r="28" customFormat="false" ht="15" hidden="false" customHeight="false" outlineLevel="0" collapsed="false">
      <c r="A28" s="30"/>
      <c r="B28" s="30"/>
      <c r="C28" s="31"/>
      <c r="D28" s="31"/>
      <c r="E28" s="16" t="str">
        <f aca="false">IF(A28="","",C28-D28)</f>
        <v/>
      </c>
      <c r="F28" s="25" t="str">
        <f aca="false">IF(OR(A28="",C28=0),"",E28/C28)</f>
        <v/>
      </c>
    </row>
    <row r="29" customFormat="false" ht="15" hidden="false" customHeight="false" outlineLevel="0" collapsed="false">
      <c r="A29" s="30"/>
      <c r="B29" s="30"/>
      <c r="C29" s="31"/>
      <c r="D29" s="31"/>
      <c r="E29" s="16" t="str">
        <f aca="false">IF(A29="","",C29-D29)</f>
        <v/>
      </c>
      <c r="F29" s="25" t="str">
        <f aca="false">IF(OR(A29="",C29=0),"",E29/C29)</f>
        <v/>
      </c>
    </row>
    <row r="30" customFormat="false" ht="15" hidden="false" customHeight="false" outlineLevel="0" collapsed="false">
      <c r="A30" s="30"/>
      <c r="B30" s="30"/>
      <c r="C30" s="31"/>
      <c r="D30" s="31"/>
      <c r="E30" s="16" t="str">
        <f aca="false">IF(A30="","",C30-D30)</f>
        <v/>
      </c>
      <c r="F30" s="25" t="str">
        <f aca="false">IF(OR(A30="",C30=0),"",E30/C30)</f>
        <v/>
      </c>
    </row>
    <row r="31" customFormat="false" ht="15" hidden="false" customHeight="false" outlineLevel="0" collapsed="false">
      <c r="A31" s="30"/>
      <c r="B31" s="30"/>
      <c r="C31" s="31"/>
      <c r="D31" s="31"/>
      <c r="E31" s="16" t="str">
        <f aca="false">IF(A31="","",C31-D31)</f>
        <v/>
      </c>
      <c r="F31" s="25" t="str">
        <f aca="false">IF(OR(A31="",C31=0),"",E31/C31)</f>
        <v/>
      </c>
    </row>
    <row r="32" customFormat="false" ht="15" hidden="false" customHeight="false" outlineLevel="0" collapsed="false">
      <c r="A32" s="30"/>
      <c r="B32" s="30"/>
      <c r="C32" s="31"/>
      <c r="D32" s="31"/>
      <c r="E32" s="16" t="str">
        <f aca="false">IF(A32="","",C32-D32)</f>
        <v/>
      </c>
      <c r="F32" s="25" t="str">
        <f aca="false">IF(OR(A32="",C32=0),"",E32/C32)</f>
        <v/>
      </c>
    </row>
    <row r="33" customFormat="false" ht="15" hidden="false" customHeight="false" outlineLevel="0" collapsed="false">
      <c r="A33" s="30"/>
      <c r="B33" s="30"/>
      <c r="C33" s="31"/>
      <c r="D33" s="31"/>
      <c r="E33" s="16" t="str">
        <f aca="false">IF(A33="","",C33-D33)</f>
        <v/>
      </c>
      <c r="F33" s="25" t="str">
        <f aca="false">IF(OR(A33="",C33=0),"",E33/C33)</f>
        <v/>
      </c>
    </row>
    <row r="34" customFormat="false" ht="15" hidden="false" customHeight="false" outlineLevel="0" collapsed="false">
      <c r="A34" s="30"/>
      <c r="B34" s="30"/>
      <c r="C34" s="31"/>
      <c r="D34" s="31"/>
      <c r="E34" s="16" t="str">
        <f aca="false">IF(A34="","",C34-D34)</f>
        <v/>
      </c>
      <c r="F34" s="25" t="str">
        <f aca="false">IF(OR(A34="",C34=0),"",E34/C34)</f>
        <v/>
      </c>
    </row>
    <row r="35" customFormat="false" ht="15" hidden="false" customHeight="false" outlineLevel="0" collapsed="false">
      <c r="A35" s="30"/>
      <c r="B35" s="30"/>
      <c r="C35" s="31"/>
      <c r="D35" s="31"/>
      <c r="E35" s="16" t="str">
        <f aca="false">IF(A35="","",C35-D35)</f>
        <v/>
      </c>
      <c r="F35" s="25" t="str">
        <f aca="false">IF(OR(A35="",C35=0),"",E35/C35)</f>
        <v/>
      </c>
    </row>
    <row r="36" customFormat="false" ht="15" hidden="false" customHeight="false" outlineLevel="0" collapsed="false">
      <c r="A36" s="30"/>
      <c r="B36" s="30"/>
      <c r="C36" s="31"/>
      <c r="D36" s="31"/>
      <c r="E36" s="16" t="str">
        <f aca="false">IF(A36="","",C36-D36)</f>
        <v/>
      </c>
      <c r="F36" s="25" t="str">
        <f aca="false">IF(OR(A36="",C36=0),"",E36/C36)</f>
        <v/>
      </c>
    </row>
    <row r="37" customFormat="false" ht="15" hidden="false" customHeight="false" outlineLevel="0" collapsed="false">
      <c r="A37" s="30"/>
      <c r="B37" s="30"/>
      <c r="C37" s="31"/>
      <c r="D37" s="31"/>
      <c r="E37" s="16" t="str">
        <f aca="false">IF(A37="","",C37-D37)</f>
        <v/>
      </c>
      <c r="F37" s="25" t="str">
        <f aca="false">IF(OR(A37="",C37=0),"",E37/C37)</f>
        <v/>
      </c>
    </row>
    <row r="38" customFormat="false" ht="15" hidden="false" customHeight="false" outlineLevel="0" collapsed="false">
      <c r="A38" s="30"/>
      <c r="B38" s="30"/>
      <c r="C38" s="31"/>
      <c r="D38" s="31"/>
      <c r="E38" s="16" t="str">
        <f aca="false">IF(A38="","",C38-D38)</f>
        <v/>
      </c>
      <c r="F38" s="25" t="str">
        <f aca="false">IF(OR(A38="",C38=0),"",E38/C38)</f>
        <v/>
      </c>
    </row>
    <row r="39" customFormat="false" ht="15" hidden="false" customHeight="false" outlineLevel="0" collapsed="false">
      <c r="A39" s="30"/>
      <c r="B39" s="30"/>
      <c r="C39" s="31"/>
      <c r="D39" s="31"/>
      <c r="E39" s="16" t="str">
        <f aca="false">IF(A39="","",C39-D39)</f>
        <v/>
      </c>
      <c r="F39" s="25" t="str">
        <f aca="false">IF(OR(A39="",C39=0),"",E39/C39)</f>
        <v/>
      </c>
    </row>
    <row r="40" customFormat="false" ht="15" hidden="false" customHeight="false" outlineLevel="0" collapsed="false">
      <c r="A40" s="30"/>
      <c r="B40" s="30"/>
      <c r="C40" s="31"/>
      <c r="D40" s="31"/>
      <c r="E40" s="16" t="str">
        <f aca="false">IF(A40="","",C40-D40)</f>
        <v/>
      </c>
      <c r="F40" s="25" t="str">
        <f aca="false">IF(OR(A40="",C40=0),"",E40/C40)</f>
        <v/>
      </c>
    </row>
    <row r="41" customFormat="false" ht="15" hidden="false" customHeight="false" outlineLevel="0" collapsed="false">
      <c r="A41" s="30"/>
      <c r="B41" s="30"/>
      <c r="C41" s="31"/>
      <c r="D41" s="31"/>
      <c r="E41" s="16" t="str">
        <f aca="false">IF(A41="","",C41-D41)</f>
        <v/>
      </c>
      <c r="F41" s="25" t="str">
        <f aca="false">IF(OR(A41="",C41=0),"",E41/C41)</f>
        <v/>
      </c>
    </row>
    <row r="42" customFormat="false" ht="15" hidden="false" customHeight="false" outlineLevel="0" collapsed="false">
      <c r="A42" s="30"/>
      <c r="B42" s="30"/>
      <c r="C42" s="31"/>
      <c r="D42" s="31"/>
      <c r="E42" s="16" t="str">
        <f aca="false">IF(A42="","",C42-D42)</f>
        <v/>
      </c>
      <c r="F42" s="25" t="str">
        <f aca="false">IF(OR(A42="",C42=0),"",E42/C42)</f>
        <v/>
      </c>
    </row>
    <row r="43" customFormat="false" ht="15" hidden="false" customHeight="false" outlineLevel="0" collapsed="false">
      <c r="A43" s="30"/>
      <c r="B43" s="30"/>
      <c r="C43" s="31"/>
      <c r="D43" s="31"/>
      <c r="E43" s="16" t="str">
        <f aca="false">IF(A43="","",C43-D43)</f>
        <v/>
      </c>
      <c r="F43" s="25" t="str">
        <f aca="false">IF(OR(A43="",C43=0),"",E43/C43)</f>
        <v/>
      </c>
    </row>
    <row r="44" customFormat="false" ht="15" hidden="false" customHeight="false" outlineLevel="0" collapsed="false">
      <c r="A44" s="30"/>
      <c r="B44" s="30"/>
      <c r="C44" s="31"/>
      <c r="D44" s="31"/>
      <c r="E44" s="16" t="str">
        <f aca="false">IF(A44="","",C44-D44)</f>
        <v/>
      </c>
      <c r="F44" s="25" t="str">
        <f aca="false">IF(OR(A44="",C44=0),"",E44/C44)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8171C"/>
    <pageSetUpPr fitToPage="false"/>
  </sheetPr>
  <dimension ref="A1:K2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34"/>
    <col collapsed="false" customWidth="true" hidden="false" outlineLevel="0" max="3" min="3" style="0" width="24"/>
    <col collapsed="false" customWidth="true" hidden="false" outlineLevel="0" max="4" min="4" style="0" width="16"/>
  </cols>
  <sheetData>
    <row r="1" customFormat="false" ht="25.5" hidden="false" customHeight="true" outlineLevel="0" collapsed="false">
      <c r="A1" s="1" t="s">
        <v>57</v>
      </c>
    </row>
    <row r="2" customFormat="false" ht="15" hidden="false" customHeight="false" outlineLevel="0" collapsed="false">
      <c r="A2" s="2" t="s">
        <v>58</v>
      </c>
    </row>
    <row r="3" customFormat="false" ht="3.75" hidden="false" customHeight="tru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customFormat="false" ht="30" hidden="false" customHeight="true" outlineLevel="0" collapsed="false">
      <c r="A4" s="14" t="s">
        <v>27</v>
      </c>
      <c r="B4" s="14" t="s">
        <v>59</v>
      </c>
    </row>
    <row r="5" customFormat="false" ht="15" hidden="false" customHeight="false" outlineLevel="0" collapsed="false">
      <c r="A5" s="17" t="s">
        <v>31</v>
      </c>
      <c r="B5" s="32" t="n">
        <v>0</v>
      </c>
      <c r="C5" s="33" t="s">
        <v>60</v>
      </c>
    </row>
    <row r="6" customFormat="false" ht="15" hidden="false" customHeight="false" outlineLevel="0" collapsed="false">
      <c r="A6" s="17" t="s">
        <v>33</v>
      </c>
      <c r="B6" s="32" t="n">
        <v>0</v>
      </c>
    </row>
    <row r="7" customFormat="false" ht="15" hidden="false" customHeight="false" outlineLevel="0" collapsed="false">
      <c r="A7" s="17" t="s">
        <v>35</v>
      </c>
      <c r="B7" s="32" t="n">
        <v>0.0199</v>
      </c>
    </row>
    <row r="8" customFormat="false" ht="15" hidden="false" customHeight="false" outlineLevel="0" collapsed="false">
      <c r="A8" s="17" t="s">
        <v>37</v>
      </c>
      <c r="B8" s="32" t="n">
        <v>0.0399</v>
      </c>
    </row>
    <row r="11" customFormat="false" ht="15" hidden="false" customHeight="false" outlineLevel="0" collapsed="false">
      <c r="A11" s="4" t="s">
        <v>61</v>
      </c>
    </row>
    <row r="12" customFormat="false" ht="30" hidden="false" customHeight="true" outlineLevel="0" collapsed="false">
      <c r="A12" s="14" t="s">
        <v>62</v>
      </c>
      <c r="B12" s="14" t="s">
        <v>63</v>
      </c>
      <c r="C12" s="14" t="s">
        <v>52</v>
      </c>
      <c r="D12" s="14" t="s">
        <v>64</v>
      </c>
    </row>
    <row r="13" customFormat="false" ht="15" hidden="false" customHeight="false" outlineLevel="0" collapsed="false">
      <c r="A13" s="34"/>
      <c r="B13" s="30"/>
      <c r="C13" s="30"/>
      <c r="D13" s="31"/>
    </row>
    <row r="14" customFormat="false" ht="15" hidden="false" customHeight="false" outlineLevel="0" collapsed="false">
      <c r="A14" s="34"/>
      <c r="B14" s="30"/>
      <c r="C14" s="30"/>
      <c r="D14" s="31"/>
    </row>
    <row r="15" customFormat="false" ht="15" hidden="false" customHeight="false" outlineLevel="0" collapsed="false">
      <c r="A15" s="34"/>
      <c r="B15" s="30"/>
      <c r="C15" s="30"/>
      <c r="D15" s="31"/>
    </row>
    <row r="16" customFormat="false" ht="15" hidden="false" customHeight="false" outlineLevel="0" collapsed="false">
      <c r="A16" s="34"/>
      <c r="B16" s="30"/>
      <c r="C16" s="30"/>
      <c r="D16" s="31"/>
    </row>
    <row r="17" customFormat="false" ht="15" hidden="false" customHeight="false" outlineLevel="0" collapsed="false">
      <c r="A17" s="34"/>
      <c r="B17" s="30"/>
      <c r="C17" s="30"/>
      <c r="D17" s="31"/>
    </row>
    <row r="18" customFormat="false" ht="15" hidden="false" customHeight="false" outlineLevel="0" collapsed="false">
      <c r="A18" s="34"/>
      <c r="B18" s="30"/>
      <c r="C18" s="30"/>
      <c r="D18" s="31"/>
    </row>
    <row r="19" customFormat="false" ht="15" hidden="false" customHeight="false" outlineLevel="0" collapsed="false">
      <c r="A19" s="34"/>
      <c r="B19" s="30"/>
      <c r="C19" s="30"/>
      <c r="D19" s="31"/>
    </row>
    <row r="20" customFormat="false" ht="15" hidden="false" customHeight="false" outlineLevel="0" collapsed="false">
      <c r="A20" s="34"/>
      <c r="B20" s="30"/>
      <c r="C20" s="30"/>
      <c r="D20" s="31"/>
    </row>
    <row r="21" customFormat="false" ht="15" hidden="false" customHeight="false" outlineLevel="0" collapsed="false">
      <c r="A21" s="34"/>
      <c r="B21" s="30"/>
      <c r="C21" s="30"/>
      <c r="D21" s="31"/>
    </row>
    <row r="22" customFormat="false" ht="15" hidden="false" customHeight="false" outlineLevel="0" collapsed="false">
      <c r="A22" s="34"/>
      <c r="B22" s="30"/>
      <c r="C22" s="30"/>
      <c r="D22" s="31"/>
    </row>
    <row r="23" customFormat="false" ht="15" hidden="false" customHeight="false" outlineLevel="0" collapsed="false">
      <c r="A23" s="34"/>
      <c r="B23" s="30"/>
      <c r="C23" s="30"/>
      <c r="D23" s="31"/>
    </row>
    <row r="24" customFormat="false" ht="15" hidden="false" customHeight="false" outlineLevel="0" collapsed="false">
      <c r="A24" s="34"/>
      <c r="B24" s="30"/>
      <c r="C24" s="30"/>
      <c r="D24" s="31"/>
    </row>
    <row r="25" customFormat="false" ht="15" hidden="false" customHeight="false" outlineLevel="0" collapsed="false">
      <c r="A25" s="34"/>
      <c r="B25" s="30"/>
      <c r="C25" s="30"/>
      <c r="D25" s="31"/>
    </row>
    <row r="26" customFormat="false" ht="15" hidden="false" customHeight="false" outlineLevel="0" collapsed="false">
      <c r="A26" s="34"/>
      <c r="B26" s="30"/>
      <c r="C26" s="30"/>
      <c r="D26" s="31"/>
    </row>
    <row r="27" customFormat="false" ht="15" hidden="false" customHeight="false" outlineLevel="0" collapsed="false">
      <c r="A27" s="34"/>
      <c r="B27" s="30"/>
      <c r="C27" s="30"/>
      <c r="D27" s="31"/>
    </row>
    <row r="28" customFormat="false" ht="15" hidden="false" customHeight="false" outlineLevel="0" collapsed="false">
      <c r="A28" s="34"/>
      <c r="B28" s="30"/>
      <c r="C28" s="30"/>
      <c r="D28" s="31"/>
    </row>
    <row r="29" customFormat="false" ht="15" hidden="false" customHeight="false" outlineLevel="0" collapsed="false">
      <c r="A29" s="34"/>
      <c r="B29" s="30"/>
      <c r="C29" s="30"/>
      <c r="D29" s="31"/>
    </row>
    <row r="30" customFormat="false" ht="15" hidden="false" customHeight="false" outlineLevel="0" collapsed="false">
      <c r="A30" s="34"/>
      <c r="B30" s="30"/>
      <c r="C30" s="30"/>
      <c r="D30" s="31"/>
    </row>
    <row r="31" customFormat="false" ht="15" hidden="false" customHeight="false" outlineLevel="0" collapsed="false">
      <c r="A31" s="34"/>
      <c r="B31" s="30"/>
      <c r="C31" s="30"/>
      <c r="D31" s="31"/>
    </row>
    <row r="32" customFormat="false" ht="15" hidden="false" customHeight="false" outlineLevel="0" collapsed="false">
      <c r="A32" s="34"/>
      <c r="B32" s="30"/>
      <c r="C32" s="30"/>
      <c r="D32" s="31"/>
    </row>
    <row r="33" customFormat="false" ht="15" hidden="false" customHeight="false" outlineLevel="0" collapsed="false">
      <c r="A33" s="34"/>
      <c r="B33" s="30"/>
      <c r="C33" s="30"/>
      <c r="D33" s="31"/>
    </row>
    <row r="34" customFormat="false" ht="15" hidden="false" customHeight="false" outlineLevel="0" collapsed="false">
      <c r="A34" s="34"/>
      <c r="B34" s="30"/>
      <c r="C34" s="30"/>
      <c r="D34" s="31"/>
    </row>
    <row r="35" customFormat="false" ht="15" hidden="false" customHeight="false" outlineLevel="0" collapsed="false">
      <c r="A35" s="34"/>
      <c r="B35" s="30"/>
      <c r="C35" s="30"/>
      <c r="D35" s="31"/>
    </row>
    <row r="36" customFormat="false" ht="15" hidden="false" customHeight="false" outlineLevel="0" collapsed="false">
      <c r="A36" s="34"/>
      <c r="B36" s="30"/>
      <c r="C36" s="30"/>
      <c r="D36" s="31"/>
    </row>
    <row r="37" customFormat="false" ht="15" hidden="false" customHeight="false" outlineLevel="0" collapsed="false">
      <c r="A37" s="34"/>
      <c r="B37" s="30"/>
      <c r="C37" s="30"/>
      <c r="D37" s="31"/>
    </row>
    <row r="38" customFormat="false" ht="15" hidden="false" customHeight="false" outlineLevel="0" collapsed="false">
      <c r="A38" s="34"/>
      <c r="B38" s="30"/>
      <c r="C38" s="30"/>
      <c r="D38" s="31"/>
    </row>
    <row r="39" customFormat="false" ht="15" hidden="false" customHeight="false" outlineLevel="0" collapsed="false">
      <c r="A39" s="34"/>
      <c r="B39" s="30"/>
      <c r="C39" s="30"/>
      <c r="D39" s="31"/>
    </row>
    <row r="40" customFormat="false" ht="15" hidden="false" customHeight="false" outlineLevel="0" collapsed="false">
      <c r="A40" s="34"/>
      <c r="B40" s="30"/>
      <c r="C40" s="30"/>
      <c r="D40" s="31"/>
    </row>
    <row r="41" customFormat="false" ht="15" hidden="false" customHeight="false" outlineLevel="0" collapsed="false">
      <c r="A41" s="34"/>
      <c r="B41" s="30"/>
      <c r="C41" s="30"/>
      <c r="D41" s="31"/>
    </row>
    <row r="42" customFormat="false" ht="15" hidden="false" customHeight="false" outlineLevel="0" collapsed="false">
      <c r="A42" s="34"/>
      <c r="B42" s="30"/>
      <c r="C42" s="30"/>
      <c r="D42" s="31"/>
    </row>
    <row r="43" customFormat="false" ht="15" hidden="false" customHeight="false" outlineLevel="0" collapsed="false">
      <c r="A43" s="34"/>
      <c r="B43" s="30"/>
      <c r="C43" s="30"/>
      <c r="D43" s="31"/>
    </row>
    <row r="44" customFormat="false" ht="15" hidden="false" customHeight="false" outlineLevel="0" collapsed="false">
      <c r="A44" s="34"/>
      <c r="B44" s="30"/>
      <c r="C44" s="30"/>
      <c r="D44" s="31"/>
    </row>
    <row r="45" customFormat="false" ht="15" hidden="false" customHeight="false" outlineLevel="0" collapsed="false">
      <c r="A45" s="34"/>
      <c r="B45" s="30"/>
      <c r="C45" s="30"/>
      <c r="D45" s="31"/>
    </row>
    <row r="46" customFormat="false" ht="15" hidden="false" customHeight="false" outlineLevel="0" collapsed="false">
      <c r="A46" s="34"/>
      <c r="B46" s="30"/>
      <c r="C46" s="30"/>
      <c r="D46" s="31"/>
    </row>
    <row r="47" customFormat="false" ht="15" hidden="false" customHeight="false" outlineLevel="0" collapsed="false">
      <c r="A47" s="34"/>
      <c r="B47" s="30"/>
      <c r="C47" s="30"/>
      <c r="D47" s="31"/>
    </row>
    <row r="48" customFormat="false" ht="15" hidden="false" customHeight="false" outlineLevel="0" collapsed="false">
      <c r="A48" s="34"/>
      <c r="B48" s="30"/>
      <c r="C48" s="30"/>
      <c r="D48" s="31"/>
    </row>
    <row r="49" customFormat="false" ht="15" hidden="false" customHeight="false" outlineLevel="0" collapsed="false">
      <c r="A49" s="34"/>
      <c r="B49" s="30"/>
      <c r="C49" s="30"/>
      <c r="D49" s="31"/>
    </row>
    <row r="50" customFormat="false" ht="15" hidden="false" customHeight="false" outlineLevel="0" collapsed="false">
      <c r="A50" s="34"/>
      <c r="B50" s="30"/>
      <c r="C50" s="30"/>
      <c r="D50" s="31"/>
    </row>
    <row r="51" customFormat="false" ht="15" hidden="false" customHeight="false" outlineLevel="0" collapsed="false">
      <c r="A51" s="34"/>
      <c r="B51" s="30"/>
      <c r="C51" s="30"/>
      <c r="D51" s="31"/>
    </row>
    <row r="52" customFormat="false" ht="15" hidden="false" customHeight="false" outlineLevel="0" collapsed="false">
      <c r="A52" s="34"/>
      <c r="B52" s="30"/>
      <c r="C52" s="30"/>
      <c r="D52" s="31"/>
    </row>
    <row r="53" customFormat="false" ht="15" hidden="false" customHeight="false" outlineLevel="0" collapsed="false">
      <c r="A53" s="34"/>
      <c r="B53" s="30"/>
      <c r="C53" s="30"/>
      <c r="D53" s="31"/>
    </row>
    <row r="54" customFormat="false" ht="15" hidden="false" customHeight="false" outlineLevel="0" collapsed="false">
      <c r="A54" s="34"/>
      <c r="B54" s="30"/>
      <c r="C54" s="30"/>
      <c r="D54" s="31"/>
    </row>
    <row r="55" customFormat="false" ht="15" hidden="false" customHeight="false" outlineLevel="0" collapsed="false">
      <c r="A55" s="34"/>
      <c r="B55" s="30"/>
      <c r="C55" s="30"/>
      <c r="D55" s="31"/>
    </row>
    <row r="56" customFormat="false" ht="15" hidden="false" customHeight="false" outlineLevel="0" collapsed="false">
      <c r="A56" s="34"/>
      <c r="B56" s="30"/>
      <c r="C56" s="30"/>
      <c r="D56" s="31"/>
    </row>
    <row r="57" customFormat="false" ht="15" hidden="false" customHeight="false" outlineLevel="0" collapsed="false">
      <c r="A57" s="34"/>
      <c r="B57" s="30"/>
      <c r="C57" s="30"/>
      <c r="D57" s="31"/>
    </row>
    <row r="58" customFormat="false" ht="15" hidden="false" customHeight="false" outlineLevel="0" collapsed="false">
      <c r="A58" s="34"/>
      <c r="B58" s="30"/>
      <c r="C58" s="30"/>
      <c r="D58" s="31"/>
    </row>
    <row r="59" customFormat="false" ht="15" hidden="false" customHeight="false" outlineLevel="0" collapsed="false">
      <c r="A59" s="34"/>
      <c r="B59" s="30"/>
      <c r="C59" s="30"/>
      <c r="D59" s="31"/>
    </row>
    <row r="60" customFormat="false" ht="15" hidden="false" customHeight="false" outlineLevel="0" collapsed="false">
      <c r="A60" s="34"/>
      <c r="B60" s="30"/>
      <c r="C60" s="30"/>
      <c r="D60" s="31"/>
    </row>
    <row r="61" customFormat="false" ht="15" hidden="false" customHeight="false" outlineLevel="0" collapsed="false">
      <c r="A61" s="34"/>
      <c r="B61" s="30"/>
      <c r="C61" s="30"/>
      <c r="D61" s="31"/>
    </row>
    <row r="62" customFormat="false" ht="15" hidden="false" customHeight="false" outlineLevel="0" collapsed="false">
      <c r="A62" s="34"/>
      <c r="B62" s="30"/>
      <c r="C62" s="30"/>
      <c r="D62" s="31"/>
    </row>
    <row r="63" customFormat="false" ht="15" hidden="false" customHeight="false" outlineLevel="0" collapsed="false">
      <c r="A63" s="34"/>
      <c r="B63" s="30"/>
      <c r="C63" s="30"/>
      <c r="D63" s="31"/>
    </row>
    <row r="64" customFormat="false" ht="15" hidden="false" customHeight="false" outlineLevel="0" collapsed="false">
      <c r="A64" s="34"/>
      <c r="B64" s="30"/>
      <c r="C64" s="30"/>
      <c r="D64" s="31"/>
    </row>
    <row r="65" customFormat="false" ht="15" hidden="false" customHeight="false" outlineLevel="0" collapsed="false">
      <c r="A65" s="34"/>
      <c r="B65" s="30"/>
      <c r="C65" s="30"/>
      <c r="D65" s="31"/>
    </row>
    <row r="66" customFormat="false" ht="15" hidden="false" customHeight="false" outlineLevel="0" collapsed="false">
      <c r="A66" s="34"/>
      <c r="B66" s="30"/>
      <c r="C66" s="30"/>
      <c r="D66" s="31"/>
    </row>
    <row r="67" customFormat="false" ht="15" hidden="false" customHeight="false" outlineLevel="0" collapsed="false">
      <c r="A67" s="34"/>
      <c r="B67" s="30"/>
      <c r="C67" s="30"/>
      <c r="D67" s="31"/>
    </row>
    <row r="68" customFormat="false" ht="15" hidden="false" customHeight="false" outlineLevel="0" collapsed="false">
      <c r="A68" s="34"/>
      <c r="B68" s="30"/>
      <c r="C68" s="30"/>
      <c r="D68" s="31"/>
    </row>
    <row r="69" customFormat="false" ht="15" hidden="false" customHeight="false" outlineLevel="0" collapsed="false">
      <c r="A69" s="34"/>
      <c r="B69" s="30"/>
      <c r="C69" s="30"/>
      <c r="D69" s="31"/>
    </row>
    <row r="70" customFormat="false" ht="15" hidden="false" customHeight="false" outlineLevel="0" collapsed="false">
      <c r="A70" s="34"/>
      <c r="B70" s="30"/>
      <c r="C70" s="30"/>
      <c r="D70" s="31"/>
    </row>
    <row r="71" customFormat="false" ht="15" hidden="false" customHeight="false" outlineLevel="0" collapsed="false">
      <c r="A71" s="34"/>
      <c r="B71" s="30"/>
      <c r="C71" s="30"/>
      <c r="D71" s="31"/>
    </row>
    <row r="72" customFormat="false" ht="15" hidden="false" customHeight="false" outlineLevel="0" collapsed="false">
      <c r="A72" s="34"/>
      <c r="B72" s="30"/>
      <c r="C72" s="30"/>
      <c r="D72" s="31"/>
    </row>
    <row r="73" customFormat="false" ht="15" hidden="false" customHeight="false" outlineLevel="0" collapsed="false">
      <c r="A73" s="34"/>
      <c r="B73" s="30"/>
      <c r="C73" s="30"/>
      <c r="D73" s="31"/>
    </row>
    <row r="74" customFormat="false" ht="15" hidden="false" customHeight="false" outlineLevel="0" collapsed="false">
      <c r="A74" s="34"/>
      <c r="B74" s="30"/>
      <c r="C74" s="30"/>
      <c r="D74" s="31"/>
    </row>
    <row r="75" customFormat="false" ht="15" hidden="false" customHeight="false" outlineLevel="0" collapsed="false">
      <c r="A75" s="34"/>
      <c r="B75" s="30"/>
      <c r="C75" s="30"/>
      <c r="D75" s="31"/>
    </row>
    <row r="76" customFormat="false" ht="15" hidden="false" customHeight="false" outlineLevel="0" collapsed="false">
      <c r="A76" s="34"/>
      <c r="B76" s="30"/>
      <c r="C76" s="30"/>
      <c r="D76" s="31"/>
    </row>
    <row r="77" customFormat="false" ht="15" hidden="false" customHeight="false" outlineLevel="0" collapsed="false">
      <c r="A77" s="34"/>
      <c r="B77" s="30"/>
      <c r="C77" s="30"/>
      <c r="D77" s="31"/>
    </row>
    <row r="78" customFormat="false" ht="15" hidden="false" customHeight="false" outlineLevel="0" collapsed="false">
      <c r="A78" s="34"/>
      <c r="B78" s="30"/>
      <c r="C78" s="30"/>
      <c r="D78" s="31"/>
    </row>
    <row r="79" customFormat="false" ht="15" hidden="false" customHeight="false" outlineLevel="0" collapsed="false">
      <c r="A79" s="34"/>
      <c r="B79" s="30"/>
      <c r="C79" s="30"/>
      <c r="D79" s="31"/>
    </row>
    <row r="80" customFormat="false" ht="15" hidden="false" customHeight="false" outlineLevel="0" collapsed="false">
      <c r="A80" s="34"/>
      <c r="B80" s="30"/>
      <c r="C80" s="30"/>
      <c r="D80" s="31"/>
    </row>
    <row r="81" customFormat="false" ht="15" hidden="false" customHeight="false" outlineLevel="0" collapsed="false">
      <c r="A81" s="34"/>
      <c r="B81" s="30"/>
      <c r="C81" s="30"/>
      <c r="D81" s="31"/>
    </row>
    <row r="82" customFormat="false" ht="15" hidden="false" customHeight="false" outlineLevel="0" collapsed="false">
      <c r="A82" s="34"/>
      <c r="B82" s="30"/>
      <c r="C82" s="30"/>
      <c r="D82" s="31"/>
    </row>
    <row r="83" customFormat="false" ht="15" hidden="false" customHeight="false" outlineLevel="0" collapsed="false">
      <c r="A83" s="34"/>
      <c r="B83" s="30"/>
      <c r="C83" s="30"/>
      <c r="D83" s="31"/>
    </row>
    <row r="84" customFormat="false" ht="15" hidden="false" customHeight="false" outlineLevel="0" collapsed="false">
      <c r="A84" s="34"/>
      <c r="B84" s="30"/>
      <c r="C84" s="30"/>
      <c r="D84" s="31"/>
    </row>
    <row r="85" customFormat="false" ht="15" hidden="false" customHeight="false" outlineLevel="0" collapsed="false">
      <c r="A85" s="34"/>
      <c r="B85" s="30"/>
      <c r="C85" s="30"/>
      <c r="D85" s="31"/>
    </row>
    <row r="86" customFormat="false" ht="15" hidden="false" customHeight="false" outlineLevel="0" collapsed="false">
      <c r="A86" s="34"/>
      <c r="B86" s="30"/>
      <c r="C86" s="30"/>
      <c r="D86" s="31"/>
    </row>
    <row r="87" customFormat="false" ht="15" hidden="false" customHeight="false" outlineLevel="0" collapsed="false">
      <c r="A87" s="34"/>
      <c r="B87" s="30"/>
      <c r="C87" s="30"/>
      <c r="D87" s="31"/>
    </row>
    <row r="88" customFormat="false" ht="15" hidden="false" customHeight="false" outlineLevel="0" collapsed="false">
      <c r="A88" s="34"/>
      <c r="B88" s="30"/>
      <c r="C88" s="30"/>
      <c r="D88" s="31"/>
    </row>
    <row r="89" customFormat="false" ht="15" hidden="false" customHeight="false" outlineLevel="0" collapsed="false">
      <c r="A89" s="34"/>
      <c r="B89" s="30"/>
      <c r="C89" s="30"/>
      <c r="D89" s="31"/>
    </row>
    <row r="90" customFormat="false" ht="15" hidden="false" customHeight="false" outlineLevel="0" collapsed="false">
      <c r="A90" s="34"/>
      <c r="B90" s="30"/>
      <c r="C90" s="30"/>
      <c r="D90" s="31"/>
    </row>
    <row r="91" customFormat="false" ht="15" hidden="false" customHeight="false" outlineLevel="0" collapsed="false">
      <c r="A91" s="34"/>
      <c r="B91" s="30"/>
      <c r="C91" s="30"/>
      <c r="D91" s="31"/>
    </row>
    <row r="92" customFormat="false" ht="15" hidden="false" customHeight="false" outlineLevel="0" collapsed="false">
      <c r="A92" s="34"/>
      <c r="B92" s="30"/>
      <c r="C92" s="30"/>
      <c r="D92" s="31"/>
    </row>
    <row r="93" customFormat="false" ht="15" hidden="false" customHeight="false" outlineLevel="0" collapsed="false">
      <c r="A93" s="34"/>
      <c r="B93" s="30"/>
      <c r="C93" s="30"/>
      <c r="D93" s="31"/>
    </row>
    <row r="94" customFormat="false" ht="15" hidden="false" customHeight="false" outlineLevel="0" collapsed="false">
      <c r="A94" s="34"/>
      <c r="B94" s="30"/>
      <c r="C94" s="30"/>
      <c r="D94" s="31"/>
    </row>
    <row r="95" customFormat="false" ht="15" hidden="false" customHeight="false" outlineLevel="0" collapsed="false">
      <c r="A95" s="34"/>
      <c r="B95" s="30"/>
      <c r="C95" s="30"/>
      <c r="D95" s="31"/>
    </row>
    <row r="96" customFormat="false" ht="15" hidden="false" customHeight="false" outlineLevel="0" collapsed="false">
      <c r="A96" s="34"/>
      <c r="B96" s="30"/>
      <c r="C96" s="30"/>
      <c r="D96" s="31"/>
    </row>
    <row r="97" customFormat="false" ht="15" hidden="false" customHeight="false" outlineLevel="0" collapsed="false">
      <c r="A97" s="34"/>
      <c r="B97" s="30"/>
      <c r="C97" s="30"/>
      <c r="D97" s="31"/>
    </row>
    <row r="98" customFormat="false" ht="15" hidden="false" customHeight="false" outlineLevel="0" collapsed="false">
      <c r="A98" s="34"/>
      <c r="B98" s="30"/>
      <c r="C98" s="30"/>
      <c r="D98" s="31"/>
    </row>
    <row r="99" customFormat="false" ht="15" hidden="false" customHeight="false" outlineLevel="0" collapsed="false">
      <c r="A99" s="34"/>
      <c r="B99" s="30"/>
      <c r="C99" s="30"/>
      <c r="D99" s="31"/>
    </row>
    <row r="100" customFormat="false" ht="15" hidden="false" customHeight="false" outlineLevel="0" collapsed="false">
      <c r="A100" s="34"/>
      <c r="B100" s="30"/>
      <c r="C100" s="30"/>
      <c r="D100" s="31"/>
    </row>
    <row r="101" customFormat="false" ht="15" hidden="false" customHeight="false" outlineLevel="0" collapsed="false">
      <c r="A101" s="34"/>
      <c r="B101" s="30"/>
      <c r="C101" s="30"/>
      <c r="D101" s="31"/>
    </row>
    <row r="102" customFormat="false" ht="15" hidden="false" customHeight="false" outlineLevel="0" collapsed="false">
      <c r="A102" s="34"/>
      <c r="B102" s="30"/>
      <c r="C102" s="30"/>
      <c r="D102" s="31"/>
    </row>
    <row r="103" customFormat="false" ht="15" hidden="false" customHeight="false" outlineLevel="0" collapsed="false">
      <c r="A103" s="34"/>
      <c r="B103" s="30"/>
      <c r="C103" s="30"/>
      <c r="D103" s="31"/>
    </row>
    <row r="104" customFormat="false" ht="15" hidden="false" customHeight="false" outlineLevel="0" collapsed="false">
      <c r="A104" s="34"/>
      <c r="B104" s="30"/>
      <c r="C104" s="30"/>
      <c r="D104" s="31"/>
    </row>
    <row r="105" customFormat="false" ht="15" hidden="false" customHeight="false" outlineLevel="0" collapsed="false">
      <c r="A105" s="34"/>
      <c r="B105" s="30"/>
      <c r="C105" s="30"/>
      <c r="D105" s="31"/>
    </row>
    <row r="106" customFormat="false" ht="15" hidden="false" customHeight="false" outlineLevel="0" collapsed="false">
      <c r="A106" s="34"/>
      <c r="B106" s="30"/>
      <c r="C106" s="30"/>
      <c r="D106" s="31"/>
    </row>
    <row r="107" customFormat="false" ht="15" hidden="false" customHeight="false" outlineLevel="0" collapsed="false">
      <c r="A107" s="34"/>
      <c r="B107" s="30"/>
      <c r="C107" s="30"/>
      <c r="D107" s="31"/>
    </row>
    <row r="108" customFormat="false" ht="15" hidden="false" customHeight="false" outlineLevel="0" collapsed="false">
      <c r="A108" s="34"/>
      <c r="B108" s="30"/>
      <c r="C108" s="30"/>
      <c r="D108" s="31"/>
    </row>
    <row r="109" customFormat="false" ht="15" hidden="false" customHeight="false" outlineLevel="0" collapsed="false">
      <c r="A109" s="34"/>
      <c r="B109" s="30"/>
      <c r="C109" s="30"/>
      <c r="D109" s="31"/>
    </row>
    <row r="110" customFormat="false" ht="15" hidden="false" customHeight="false" outlineLevel="0" collapsed="false">
      <c r="A110" s="34"/>
      <c r="B110" s="30"/>
      <c r="C110" s="30"/>
      <c r="D110" s="31"/>
    </row>
    <row r="111" customFormat="false" ht="15" hidden="false" customHeight="false" outlineLevel="0" collapsed="false">
      <c r="A111" s="34"/>
      <c r="B111" s="30"/>
      <c r="C111" s="30"/>
      <c r="D111" s="31"/>
    </row>
    <row r="112" customFormat="false" ht="15" hidden="false" customHeight="false" outlineLevel="0" collapsed="false">
      <c r="A112" s="34"/>
      <c r="B112" s="30"/>
      <c r="C112" s="30"/>
      <c r="D112" s="31"/>
    </row>
    <row r="113" customFormat="false" ht="15" hidden="false" customHeight="false" outlineLevel="0" collapsed="false">
      <c r="A113" s="34"/>
      <c r="B113" s="30"/>
      <c r="C113" s="30"/>
      <c r="D113" s="31"/>
    </row>
    <row r="114" customFormat="false" ht="15" hidden="false" customHeight="false" outlineLevel="0" collapsed="false">
      <c r="A114" s="34"/>
      <c r="B114" s="30"/>
      <c r="C114" s="30"/>
      <c r="D114" s="31"/>
    </row>
    <row r="115" customFormat="false" ht="15" hidden="false" customHeight="false" outlineLevel="0" collapsed="false">
      <c r="A115" s="34"/>
      <c r="B115" s="30"/>
      <c r="C115" s="30"/>
      <c r="D115" s="31"/>
    </row>
    <row r="116" customFormat="false" ht="15" hidden="false" customHeight="false" outlineLevel="0" collapsed="false">
      <c r="A116" s="34"/>
      <c r="B116" s="30"/>
      <c r="C116" s="30"/>
      <c r="D116" s="31"/>
    </row>
    <row r="117" customFormat="false" ht="15" hidden="false" customHeight="false" outlineLevel="0" collapsed="false">
      <c r="A117" s="34"/>
      <c r="B117" s="30"/>
      <c r="C117" s="30"/>
      <c r="D117" s="31"/>
    </row>
    <row r="118" customFormat="false" ht="15" hidden="false" customHeight="false" outlineLevel="0" collapsed="false">
      <c r="A118" s="34"/>
      <c r="B118" s="30"/>
      <c r="C118" s="30"/>
      <c r="D118" s="31"/>
    </row>
    <row r="119" customFormat="false" ht="15" hidden="false" customHeight="false" outlineLevel="0" collapsed="false">
      <c r="A119" s="34"/>
      <c r="B119" s="30"/>
      <c r="C119" s="30"/>
      <c r="D119" s="31"/>
    </row>
    <row r="120" customFormat="false" ht="15" hidden="false" customHeight="false" outlineLevel="0" collapsed="false">
      <c r="A120" s="34"/>
      <c r="B120" s="30"/>
      <c r="C120" s="30"/>
      <c r="D120" s="31"/>
    </row>
    <row r="121" customFormat="false" ht="15" hidden="false" customHeight="false" outlineLevel="0" collapsed="false">
      <c r="A121" s="34"/>
      <c r="B121" s="30"/>
      <c r="C121" s="30"/>
      <c r="D121" s="31"/>
    </row>
    <row r="122" customFormat="false" ht="15" hidden="false" customHeight="false" outlineLevel="0" collapsed="false">
      <c r="A122" s="34"/>
      <c r="B122" s="30"/>
      <c r="C122" s="30"/>
      <c r="D122" s="31"/>
    </row>
    <row r="123" customFormat="false" ht="15" hidden="false" customHeight="false" outlineLevel="0" collapsed="false">
      <c r="A123" s="34"/>
      <c r="B123" s="30"/>
      <c r="C123" s="30"/>
      <c r="D123" s="31"/>
    </row>
    <row r="124" customFormat="false" ht="15" hidden="false" customHeight="false" outlineLevel="0" collapsed="false">
      <c r="A124" s="34"/>
      <c r="B124" s="30"/>
      <c r="C124" s="30"/>
      <c r="D124" s="31"/>
    </row>
    <row r="125" customFormat="false" ht="15" hidden="false" customHeight="false" outlineLevel="0" collapsed="false">
      <c r="A125" s="34"/>
      <c r="B125" s="30"/>
      <c r="C125" s="30"/>
      <c r="D125" s="31"/>
    </row>
    <row r="126" customFormat="false" ht="15" hidden="false" customHeight="false" outlineLevel="0" collapsed="false">
      <c r="A126" s="34"/>
      <c r="B126" s="30"/>
      <c r="C126" s="30"/>
      <c r="D126" s="31"/>
    </row>
    <row r="127" customFormat="false" ht="15" hidden="false" customHeight="false" outlineLevel="0" collapsed="false">
      <c r="A127" s="34"/>
      <c r="B127" s="30"/>
      <c r="C127" s="30"/>
      <c r="D127" s="31"/>
    </row>
    <row r="128" customFormat="false" ht="15" hidden="false" customHeight="false" outlineLevel="0" collapsed="false">
      <c r="A128" s="34"/>
      <c r="B128" s="30"/>
      <c r="C128" s="30"/>
      <c r="D128" s="31"/>
    </row>
    <row r="129" customFormat="false" ht="15" hidden="false" customHeight="false" outlineLevel="0" collapsed="false">
      <c r="A129" s="34"/>
      <c r="B129" s="30"/>
      <c r="C129" s="30"/>
      <c r="D129" s="31"/>
    </row>
    <row r="130" customFormat="false" ht="15" hidden="false" customHeight="false" outlineLevel="0" collapsed="false">
      <c r="A130" s="34"/>
      <c r="B130" s="30"/>
      <c r="C130" s="30"/>
      <c r="D130" s="31"/>
    </row>
    <row r="131" customFormat="false" ht="15" hidden="false" customHeight="false" outlineLevel="0" collapsed="false">
      <c r="A131" s="34"/>
      <c r="B131" s="30"/>
      <c r="C131" s="30"/>
      <c r="D131" s="31"/>
    </row>
    <row r="132" customFormat="false" ht="15" hidden="false" customHeight="false" outlineLevel="0" collapsed="false">
      <c r="A132" s="34"/>
      <c r="B132" s="30"/>
      <c r="C132" s="30"/>
      <c r="D132" s="31"/>
    </row>
    <row r="133" customFormat="false" ht="15" hidden="false" customHeight="false" outlineLevel="0" collapsed="false">
      <c r="A133" s="34"/>
      <c r="B133" s="30"/>
      <c r="C133" s="30"/>
      <c r="D133" s="31"/>
    </row>
    <row r="134" customFormat="false" ht="15" hidden="false" customHeight="false" outlineLevel="0" collapsed="false">
      <c r="A134" s="34"/>
      <c r="B134" s="30"/>
      <c r="C134" s="30"/>
      <c r="D134" s="31"/>
    </row>
    <row r="135" customFormat="false" ht="15" hidden="false" customHeight="false" outlineLevel="0" collapsed="false">
      <c r="A135" s="34"/>
      <c r="B135" s="30"/>
      <c r="C135" s="30"/>
      <c r="D135" s="31"/>
    </row>
    <row r="136" customFormat="false" ht="15" hidden="false" customHeight="false" outlineLevel="0" collapsed="false">
      <c r="A136" s="34"/>
      <c r="B136" s="30"/>
      <c r="C136" s="30"/>
      <c r="D136" s="31"/>
    </row>
    <row r="137" customFormat="false" ht="15" hidden="false" customHeight="false" outlineLevel="0" collapsed="false">
      <c r="A137" s="34"/>
      <c r="B137" s="30"/>
      <c r="C137" s="30"/>
      <c r="D137" s="31"/>
    </row>
    <row r="138" customFormat="false" ht="15" hidden="false" customHeight="false" outlineLevel="0" collapsed="false">
      <c r="A138" s="34"/>
      <c r="B138" s="30"/>
      <c r="C138" s="30"/>
      <c r="D138" s="31"/>
    </row>
    <row r="139" customFormat="false" ht="15" hidden="false" customHeight="false" outlineLevel="0" collapsed="false">
      <c r="A139" s="34"/>
      <c r="B139" s="30"/>
      <c r="C139" s="30"/>
      <c r="D139" s="31"/>
    </row>
    <row r="140" customFormat="false" ht="15" hidden="false" customHeight="false" outlineLevel="0" collapsed="false">
      <c r="A140" s="34"/>
      <c r="B140" s="30"/>
      <c r="C140" s="30"/>
      <c r="D140" s="31"/>
    </row>
    <row r="141" customFormat="false" ht="15" hidden="false" customHeight="false" outlineLevel="0" collapsed="false">
      <c r="A141" s="34"/>
      <c r="B141" s="30"/>
      <c r="C141" s="30"/>
      <c r="D141" s="31"/>
    </row>
    <row r="142" customFormat="false" ht="15" hidden="false" customHeight="false" outlineLevel="0" collapsed="false">
      <c r="A142" s="34"/>
      <c r="B142" s="30"/>
      <c r="C142" s="30"/>
      <c r="D142" s="31"/>
    </row>
    <row r="143" customFormat="false" ht="15" hidden="false" customHeight="false" outlineLevel="0" collapsed="false">
      <c r="A143" s="34"/>
      <c r="B143" s="30"/>
      <c r="C143" s="30"/>
      <c r="D143" s="31"/>
    </row>
    <row r="144" customFormat="false" ht="15" hidden="false" customHeight="false" outlineLevel="0" collapsed="false">
      <c r="A144" s="34"/>
      <c r="B144" s="30"/>
      <c r="C144" s="30"/>
      <c r="D144" s="31"/>
    </row>
    <row r="145" customFormat="false" ht="15" hidden="false" customHeight="false" outlineLevel="0" collapsed="false">
      <c r="A145" s="34"/>
      <c r="B145" s="30"/>
      <c r="C145" s="30"/>
      <c r="D145" s="31"/>
    </row>
    <row r="146" customFormat="false" ht="15" hidden="false" customHeight="false" outlineLevel="0" collapsed="false">
      <c r="A146" s="34"/>
      <c r="B146" s="30"/>
      <c r="C146" s="30"/>
      <c r="D146" s="31"/>
    </row>
    <row r="147" customFormat="false" ht="15" hidden="false" customHeight="false" outlineLevel="0" collapsed="false">
      <c r="A147" s="34"/>
      <c r="B147" s="30"/>
      <c r="C147" s="30"/>
      <c r="D147" s="31"/>
    </row>
    <row r="148" customFormat="false" ht="15" hidden="false" customHeight="false" outlineLevel="0" collapsed="false">
      <c r="A148" s="34"/>
      <c r="B148" s="30"/>
      <c r="C148" s="30"/>
      <c r="D148" s="31"/>
    </row>
    <row r="149" customFormat="false" ht="15" hidden="false" customHeight="false" outlineLevel="0" collapsed="false">
      <c r="A149" s="34"/>
      <c r="B149" s="30"/>
      <c r="C149" s="30"/>
      <c r="D149" s="31"/>
    </row>
    <row r="150" customFormat="false" ht="15" hidden="false" customHeight="false" outlineLevel="0" collapsed="false">
      <c r="A150" s="34"/>
      <c r="B150" s="30"/>
      <c r="C150" s="30"/>
      <c r="D150" s="31"/>
    </row>
    <row r="151" customFormat="false" ht="15" hidden="false" customHeight="false" outlineLevel="0" collapsed="false">
      <c r="A151" s="34"/>
      <c r="B151" s="30"/>
      <c r="C151" s="30"/>
      <c r="D151" s="31"/>
    </row>
    <row r="152" customFormat="false" ht="15" hidden="false" customHeight="false" outlineLevel="0" collapsed="false">
      <c r="A152" s="34"/>
      <c r="B152" s="30"/>
      <c r="C152" s="30"/>
      <c r="D152" s="31"/>
    </row>
    <row r="153" customFormat="false" ht="15" hidden="false" customHeight="false" outlineLevel="0" collapsed="false">
      <c r="A153" s="34"/>
      <c r="B153" s="30"/>
      <c r="C153" s="30"/>
      <c r="D153" s="31"/>
    </row>
    <row r="154" customFormat="false" ht="15" hidden="false" customHeight="false" outlineLevel="0" collapsed="false">
      <c r="A154" s="34"/>
      <c r="B154" s="30"/>
      <c r="C154" s="30"/>
      <c r="D154" s="31"/>
    </row>
    <row r="155" customFormat="false" ht="15" hidden="false" customHeight="false" outlineLevel="0" collapsed="false">
      <c r="A155" s="34"/>
      <c r="B155" s="30"/>
      <c r="C155" s="30"/>
      <c r="D155" s="31"/>
    </row>
    <row r="156" customFormat="false" ht="15" hidden="false" customHeight="false" outlineLevel="0" collapsed="false">
      <c r="A156" s="34"/>
      <c r="B156" s="30"/>
      <c r="C156" s="30"/>
      <c r="D156" s="31"/>
    </row>
    <row r="157" customFormat="false" ht="15" hidden="false" customHeight="false" outlineLevel="0" collapsed="false">
      <c r="A157" s="34"/>
      <c r="B157" s="30"/>
      <c r="C157" s="30"/>
      <c r="D157" s="31"/>
    </row>
    <row r="158" customFormat="false" ht="15" hidden="false" customHeight="false" outlineLevel="0" collapsed="false">
      <c r="A158" s="34"/>
      <c r="B158" s="30"/>
      <c r="C158" s="30"/>
      <c r="D158" s="31"/>
    </row>
    <row r="159" customFormat="false" ht="15" hidden="false" customHeight="false" outlineLevel="0" collapsed="false">
      <c r="A159" s="34"/>
      <c r="B159" s="30"/>
      <c r="C159" s="30"/>
      <c r="D159" s="31"/>
    </row>
    <row r="160" customFormat="false" ht="15" hidden="false" customHeight="false" outlineLevel="0" collapsed="false">
      <c r="A160" s="34"/>
      <c r="B160" s="30"/>
      <c r="C160" s="30"/>
      <c r="D160" s="31"/>
    </row>
    <row r="161" customFormat="false" ht="15" hidden="false" customHeight="false" outlineLevel="0" collapsed="false">
      <c r="A161" s="34"/>
      <c r="B161" s="30"/>
      <c r="C161" s="30"/>
      <c r="D161" s="31"/>
    </row>
    <row r="162" customFormat="false" ht="15" hidden="false" customHeight="false" outlineLevel="0" collapsed="false">
      <c r="A162" s="34"/>
      <c r="B162" s="30"/>
      <c r="C162" s="30"/>
      <c r="D162" s="31"/>
    </row>
    <row r="163" customFormat="false" ht="15" hidden="false" customHeight="false" outlineLevel="0" collapsed="false">
      <c r="A163" s="34"/>
      <c r="B163" s="30"/>
      <c r="C163" s="30"/>
      <c r="D163" s="31"/>
    </row>
    <row r="164" customFormat="false" ht="15" hidden="false" customHeight="false" outlineLevel="0" collapsed="false">
      <c r="A164" s="34"/>
      <c r="B164" s="30"/>
      <c r="C164" s="30"/>
      <c r="D164" s="31"/>
    </row>
    <row r="165" customFormat="false" ht="15" hidden="false" customHeight="false" outlineLevel="0" collapsed="false">
      <c r="A165" s="34"/>
      <c r="B165" s="30"/>
      <c r="C165" s="30"/>
      <c r="D165" s="31"/>
    </row>
    <row r="166" customFormat="false" ht="15" hidden="false" customHeight="false" outlineLevel="0" collapsed="false">
      <c r="A166" s="34"/>
      <c r="B166" s="30"/>
      <c r="C166" s="30"/>
      <c r="D166" s="31"/>
    </row>
    <row r="167" customFormat="false" ht="15" hidden="false" customHeight="false" outlineLevel="0" collapsed="false">
      <c r="A167" s="34"/>
      <c r="B167" s="30"/>
      <c r="C167" s="30"/>
      <c r="D167" s="31"/>
    </row>
    <row r="168" customFormat="false" ht="15" hidden="false" customHeight="false" outlineLevel="0" collapsed="false">
      <c r="A168" s="34"/>
      <c r="B168" s="30"/>
      <c r="C168" s="30"/>
      <c r="D168" s="31"/>
    </row>
    <row r="169" customFormat="false" ht="15" hidden="false" customHeight="false" outlineLevel="0" collapsed="false">
      <c r="A169" s="34"/>
      <c r="B169" s="30"/>
      <c r="C169" s="30"/>
      <c r="D169" s="31"/>
    </row>
    <row r="170" customFormat="false" ht="15" hidden="false" customHeight="false" outlineLevel="0" collapsed="false">
      <c r="A170" s="34"/>
      <c r="B170" s="30"/>
      <c r="C170" s="30"/>
      <c r="D170" s="31"/>
    </row>
    <row r="171" customFormat="false" ht="15" hidden="false" customHeight="false" outlineLevel="0" collapsed="false">
      <c r="A171" s="34"/>
      <c r="B171" s="30"/>
      <c r="C171" s="30"/>
      <c r="D171" s="31"/>
    </row>
    <row r="172" customFormat="false" ht="15" hidden="false" customHeight="false" outlineLevel="0" collapsed="false">
      <c r="A172" s="34"/>
      <c r="B172" s="30"/>
      <c r="C172" s="30"/>
      <c r="D172" s="31"/>
    </row>
    <row r="173" customFormat="false" ht="15" hidden="false" customHeight="false" outlineLevel="0" collapsed="false">
      <c r="A173" s="34"/>
      <c r="B173" s="30"/>
      <c r="C173" s="30"/>
      <c r="D173" s="31"/>
    </row>
    <row r="174" customFormat="false" ht="15" hidden="false" customHeight="false" outlineLevel="0" collapsed="false">
      <c r="A174" s="34"/>
      <c r="B174" s="30"/>
      <c r="C174" s="30"/>
      <c r="D174" s="31"/>
    </row>
    <row r="175" customFormat="false" ht="15" hidden="false" customHeight="false" outlineLevel="0" collapsed="false">
      <c r="A175" s="34"/>
      <c r="B175" s="30"/>
      <c r="C175" s="30"/>
      <c r="D175" s="31"/>
    </row>
    <row r="176" customFormat="false" ht="15" hidden="false" customHeight="false" outlineLevel="0" collapsed="false">
      <c r="A176" s="34"/>
      <c r="B176" s="30"/>
      <c r="C176" s="30"/>
      <c r="D176" s="31"/>
    </row>
    <row r="177" customFormat="false" ht="15" hidden="false" customHeight="false" outlineLevel="0" collapsed="false">
      <c r="A177" s="34"/>
      <c r="B177" s="30"/>
      <c r="C177" s="30"/>
      <c r="D177" s="31"/>
    </row>
    <row r="178" customFormat="false" ht="15" hidden="false" customHeight="false" outlineLevel="0" collapsed="false">
      <c r="A178" s="34"/>
      <c r="B178" s="30"/>
      <c r="C178" s="30"/>
      <c r="D178" s="31"/>
    </row>
    <row r="179" customFormat="false" ht="15" hidden="false" customHeight="false" outlineLevel="0" collapsed="false">
      <c r="A179" s="34"/>
      <c r="B179" s="30"/>
      <c r="C179" s="30"/>
      <c r="D179" s="31"/>
    </row>
    <row r="180" customFormat="false" ht="15" hidden="false" customHeight="false" outlineLevel="0" collapsed="false">
      <c r="A180" s="34"/>
      <c r="B180" s="30"/>
      <c r="C180" s="30"/>
      <c r="D180" s="31"/>
    </row>
    <row r="181" customFormat="false" ht="15" hidden="false" customHeight="false" outlineLevel="0" collapsed="false">
      <c r="A181" s="34"/>
      <c r="B181" s="30"/>
      <c r="C181" s="30"/>
      <c r="D181" s="31"/>
    </row>
    <row r="182" customFormat="false" ht="15" hidden="false" customHeight="false" outlineLevel="0" collapsed="false">
      <c r="A182" s="34"/>
      <c r="B182" s="30"/>
      <c r="C182" s="30"/>
      <c r="D182" s="31"/>
    </row>
    <row r="183" customFormat="false" ht="15" hidden="false" customHeight="false" outlineLevel="0" collapsed="false">
      <c r="A183" s="34"/>
      <c r="B183" s="30"/>
      <c r="C183" s="30"/>
      <c r="D183" s="31"/>
    </row>
    <row r="184" customFormat="false" ht="15" hidden="false" customHeight="false" outlineLevel="0" collapsed="false">
      <c r="A184" s="34"/>
      <c r="B184" s="30"/>
      <c r="C184" s="30"/>
      <c r="D184" s="31"/>
    </row>
    <row r="185" customFormat="false" ht="15" hidden="false" customHeight="false" outlineLevel="0" collapsed="false">
      <c r="A185" s="34"/>
      <c r="B185" s="30"/>
      <c r="C185" s="30"/>
      <c r="D185" s="31"/>
    </row>
    <row r="186" customFormat="false" ht="15" hidden="false" customHeight="false" outlineLevel="0" collapsed="false">
      <c r="A186" s="34"/>
      <c r="B186" s="30"/>
      <c r="C186" s="30"/>
      <c r="D186" s="31"/>
    </row>
    <row r="187" customFormat="false" ht="15" hidden="false" customHeight="false" outlineLevel="0" collapsed="false">
      <c r="A187" s="34"/>
      <c r="B187" s="30"/>
      <c r="C187" s="30"/>
      <c r="D187" s="31"/>
    </row>
    <row r="188" customFormat="false" ht="15" hidden="false" customHeight="false" outlineLevel="0" collapsed="false">
      <c r="A188" s="34"/>
      <c r="B188" s="30"/>
      <c r="C188" s="30"/>
      <c r="D188" s="31"/>
    </row>
    <row r="189" customFormat="false" ht="15" hidden="false" customHeight="false" outlineLevel="0" collapsed="false">
      <c r="A189" s="34"/>
      <c r="B189" s="30"/>
      <c r="C189" s="30"/>
      <c r="D189" s="31"/>
    </row>
    <row r="190" customFormat="false" ht="15" hidden="false" customHeight="false" outlineLevel="0" collapsed="false">
      <c r="A190" s="34"/>
      <c r="B190" s="30"/>
      <c r="C190" s="30"/>
      <c r="D190" s="31"/>
    </row>
    <row r="191" customFormat="false" ht="15" hidden="false" customHeight="false" outlineLevel="0" collapsed="false">
      <c r="A191" s="34"/>
      <c r="B191" s="30"/>
      <c r="C191" s="30"/>
      <c r="D191" s="31"/>
    </row>
    <row r="192" customFormat="false" ht="15" hidden="false" customHeight="false" outlineLevel="0" collapsed="false">
      <c r="A192" s="34"/>
      <c r="B192" s="30"/>
      <c r="C192" s="30"/>
      <c r="D192" s="31"/>
    </row>
    <row r="193" customFormat="false" ht="15" hidden="false" customHeight="false" outlineLevel="0" collapsed="false">
      <c r="A193" s="34"/>
      <c r="B193" s="30"/>
      <c r="C193" s="30"/>
      <c r="D193" s="31"/>
    </row>
    <row r="194" customFormat="false" ht="15" hidden="false" customHeight="false" outlineLevel="0" collapsed="false">
      <c r="A194" s="34"/>
      <c r="B194" s="30"/>
      <c r="C194" s="30"/>
      <c r="D194" s="31"/>
    </row>
    <row r="195" customFormat="false" ht="15" hidden="false" customHeight="false" outlineLevel="0" collapsed="false">
      <c r="A195" s="34"/>
      <c r="B195" s="30"/>
      <c r="C195" s="30"/>
      <c r="D195" s="31"/>
    </row>
    <row r="196" customFormat="false" ht="15" hidden="false" customHeight="false" outlineLevel="0" collapsed="false">
      <c r="A196" s="34"/>
      <c r="B196" s="30"/>
      <c r="C196" s="30"/>
      <c r="D196" s="31"/>
    </row>
    <row r="197" customFormat="false" ht="15" hidden="false" customHeight="false" outlineLevel="0" collapsed="false">
      <c r="A197" s="34"/>
      <c r="B197" s="30"/>
      <c r="C197" s="30"/>
      <c r="D197" s="31"/>
    </row>
    <row r="198" customFormat="false" ht="15" hidden="false" customHeight="false" outlineLevel="0" collapsed="false">
      <c r="A198" s="34"/>
      <c r="B198" s="30"/>
      <c r="C198" s="30"/>
      <c r="D198" s="31"/>
    </row>
    <row r="199" customFormat="false" ht="15" hidden="false" customHeight="false" outlineLevel="0" collapsed="false">
      <c r="A199" s="34"/>
      <c r="B199" s="30"/>
      <c r="C199" s="30"/>
      <c r="D199" s="31"/>
    </row>
    <row r="200" customFormat="false" ht="15" hidden="false" customHeight="false" outlineLevel="0" collapsed="false">
      <c r="A200" s="34"/>
      <c r="B200" s="30"/>
      <c r="C200" s="30"/>
      <c r="D200" s="31"/>
    </row>
    <row r="201" customFormat="false" ht="15" hidden="false" customHeight="false" outlineLevel="0" collapsed="false">
      <c r="A201" s="34"/>
      <c r="B201" s="30"/>
      <c r="C201" s="30"/>
      <c r="D201" s="31"/>
    </row>
    <row r="202" customFormat="false" ht="15" hidden="false" customHeight="false" outlineLevel="0" collapsed="false">
      <c r="A202" s="34"/>
      <c r="B202" s="30"/>
      <c r="C202" s="30"/>
      <c r="D202" s="31"/>
    </row>
    <row r="203" customFormat="false" ht="15" hidden="false" customHeight="false" outlineLevel="0" collapsed="false">
      <c r="A203" s="34"/>
      <c r="B203" s="30"/>
      <c r="C203" s="30"/>
      <c r="D203" s="31"/>
    </row>
    <row r="204" customFormat="false" ht="15" hidden="false" customHeight="false" outlineLevel="0" collapsed="false">
      <c r="A204" s="34"/>
      <c r="B204" s="30"/>
      <c r="C204" s="30"/>
      <c r="D204" s="31"/>
    </row>
    <row r="205" customFormat="false" ht="15" hidden="false" customHeight="false" outlineLevel="0" collapsed="false">
      <c r="A205" s="34"/>
      <c r="B205" s="30"/>
      <c r="C205" s="30"/>
      <c r="D205" s="31"/>
    </row>
    <row r="206" customFormat="false" ht="15" hidden="false" customHeight="false" outlineLevel="0" collapsed="false">
      <c r="A206" s="34"/>
      <c r="B206" s="30"/>
      <c r="C206" s="30"/>
      <c r="D206" s="31"/>
    </row>
    <row r="207" customFormat="false" ht="15" hidden="false" customHeight="false" outlineLevel="0" collapsed="false">
      <c r="A207" s="34"/>
      <c r="B207" s="30"/>
      <c r="C207" s="30"/>
      <c r="D207" s="31"/>
    </row>
    <row r="208" customFormat="false" ht="15" hidden="false" customHeight="false" outlineLevel="0" collapsed="false">
      <c r="A208" s="34"/>
      <c r="B208" s="30"/>
      <c r="C208" s="30"/>
      <c r="D208" s="31"/>
    </row>
    <row r="209" customFormat="false" ht="15" hidden="false" customHeight="false" outlineLevel="0" collapsed="false">
      <c r="A209" s="34"/>
      <c r="B209" s="30"/>
      <c r="C209" s="30"/>
      <c r="D209" s="31"/>
    </row>
    <row r="210" customFormat="false" ht="15" hidden="false" customHeight="false" outlineLevel="0" collapsed="false">
      <c r="A210" s="34"/>
      <c r="B210" s="30"/>
      <c r="C210" s="30"/>
      <c r="D210" s="31"/>
    </row>
    <row r="211" customFormat="false" ht="15" hidden="false" customHeight="false" outlineLevel="0" collapsed="false">
      <c r="A211" s="34"/>
      <c r="B211" s="30"/>
      <c r="C211" s="30"/>
      <c r="D211" s="31"/>
    </row>
    <row r="212" customFormat="false" ht="15" hidden="false" customHeight="false" outlineLevel="0" collapsed="false">
      <c r="A212" s="34"/>
      <c r="B212" s="30"/>
      <c r="C212" s="30"/>
      <c r="D212" s="31"/>
    </row>
  </sheetData>
  <dataValidations count="1">
    <dataValidation allowBlank="true" errorStyle="stop" operator="between" showDropDown="false" showErrorMessage="false" showInputMessage="false" sqref="C13:C212" type="list">
      <formula1>"Ponto / taxa da feira,Gás,Embalagem,Ingredientes extras,Transporte,Ajudante,Outros"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21A"/>
    <pageSetUpPr fitToPage="false"/>
  </sheetPr>
  <dimension ref="A1:K10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8"/>
    <col collapsed="false" customWidth="true" hidden="false" outlineLevel="0" max="3" min="3" style="0" width="7"/>
    <col collapsed="false" customWidth="true" hidden="false" outlineLevel="0" max="4" min="4" style="0" width="18"/>
    <col collapsed="false" customWidth="true" hidden="false" outlineLevel="0" max="5" min="5" style="0" width="12"/>
    <col collapsed="false" customWidth="true" hidden="false" outlineLevel="0" max="7" min="6" style="0" width="13"/>
    <col collapsed="false" customWidth="true" hidden="false" outlineLevel="0" max="8" min="8" style="0" width="12"/>
    <col collapsed="false" customWidth="true" hidden="false" outlineLevel="0" max="9" min="9" style="0" width="13"/>
  </cols>
  <sheetData>
    <row r="1" customFormat="false" ht="25.5" hidden="false" customHeight="true" outlineLevel="0" collapsed="false">
      <c r="A1" s="1" t="s">
        <v>28</v>
      </c>
    </row>
    <row r="2" customFormat="false" ht="15" hidden="false" customHeight="false" outlineLevel="0" collapsed="false">
      <c r="A2" s="2" t="s">
        <v>65</v>
      </c>
    </row>
    <row r="3" customFormat="false" ht="3.75" hidden="false" customHeight="tru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customFormat="false" ht="30" hidden="false" customHeight="true" outlineLevel="0" collapsed="false">
      <c r="A4" s="14" t="s">
        <v>62</v>
      </c>
      <c r="B4" s="14" t="s">
        <v>45</v>
      </c>
      <c r="C4" s="14" t="s">
        <v>66</v>
      </c>
      <c r="D4" s="14" t="s">
        <v>27</v>
      </c>
      <c r="E4" s="14" t="s">
        <v>67</v>
      </c>
      <c r="F4" s="14" t="s">
        <v>68</v>
      </c>
      <c r="G4" s="14" t="s">
        <v>69</v>
      </c>
      <c r="H4" s="14" t="s">
        <v>70</v>
      </c>
      <c r="I4" s="14" t="s">
        <v>71</v>
      </c>
    </row>
    <row r="5" customFormat="false" ht="15" hidden="false" customHeight="false" outlineLevel="0" collapsed="false">
      <c r="A5" s="34"/>
      <c r="B5" s="30"/>
      <c r="C5" s="30"/>
      <c r="D5" s="30"/>
      <c r="E5" s="16" t="str">
        <f aca="false">IF(B5="","",IFERROR(INDEX(Produtos!$C$5:$C$44,MATCH(B5,Produtos!$A$5:$A$44,0)),0))</f>
        <v/>
      </c>
      <c r="F5" s="16" t="str">
        <f aca="false">IF(B5="","",C5*E5)</f>
        <v/>
      </c>
      <c r="G5" s="16" t="str">
        <f aca="false">IF(B5="","",C5*IFERROR(INDEX(Produtos!$D$5:$D$44,MATCH(B5,Produtos!$A$5:$A$44,0)),0))</f>
        <v/>
      </c>
      <c r="H5" s="16" t="str">
        <f aca="false">IF(B5="","",F5*IFERROR(INDEX(Despesas!$B$5:$B$8,MATCH(D5,Despesas!$A$5:$A$8,0)),0))</f>
        <v/>
      </c>
      <c r="I5" s="16" t="str">
        <f aca="false">IF(B5="","",F5-G5-H5)</f>
        <v/>
      </c>
    </row>
    <row r="6" customFormat="false" ht="15" hidden="false" customHeight="false" outlineLevel="0" collapsed="false">
      <c r="A6" s="34"/>
      <c r="B6" s="30"/>
      <c r="C6" s="30"/>
      <c r="D6" s="30"/>
      <c r="E6" s="16" t="str">
        <f aca="false">IF(B6="","",IFERROR(INDEX(Produtos!$C$5:$C$44,MATCH(B6,Produtos!$A$5:$A$44,0)),0))</f>
        <v/>
      </c>
      <c r="F6" s="16" t="str">
        <f aca="false">IF(B6="","",C6*E6)</f>
        <v/>
      </c>
      <c r="G6" s="16" t="str">
        <f aca="false">IF(B6="","",C6*IFERROR(INDEX(Produtos!$D$5:$D$44,MATCH(B6,Produtos!$A$5:$A$44,0)),0))</f>
        <v/>
      </c>
      <c r="H6" s="16" t="str">
        <f aca="false">IF(B6="","",F6*IFERROR(INDEX(Despesas!$B$5:$B$8,MATCH(D6,Despesas!$A$5:$A$8,0)),0))</f>
        <v/>
      </c>
      <c r="I6" s="16" t="str">
        <f aca="false">IF(B6="","",F6-G6-H6)</f>
        <v/>
      </c>
    </row>
    <row r="7" customFormat="false" ht="15" hidden="false" customHeight="false" outlineLevel="0" collapsed="false">
      <c r="A7" s="34"/>
      <c r="B7" s="30"/>
      <c r="C7" s="30"/>
      <c r="D7" s="30"/>
      <c r="E7" s="16" t="str">
        <f aca="false">IF(B7="","",IFERROR(INDEX(Produtos!$C$5:$C$44,MATCH(B7,Produtos!$A$5:$A$44,0)),0))</f>
        <v/>
      </c>
      <c r="F7" s="16" t="str">
        <f aca="false">IF(B7="","",C7*E7)</f>
        <v/>
      </c>
      <c r="G7" s="16" t="str">
        <f aca="false">IF(B7="","",C7*IFERROR(INDEX(Produtos!$D$5:$D$44,MATCH(B7,Produtos!$A$5:$A$44,0)),0))</f>
        <v/>
      </c>
      <c r="H7" s="16" t="str">
        <f aca="false">IF(B7="","",F7*IFERROR(INDEX(Despesas!$B$5:$B$8,MATCH(D7,Despesas!$A$5:$A$8,0)),0))</f>
        <v/>
      </c>
      <c r="I7" s="16" t="str">
        <f aca="false">IF(B7="","",F7-G7-H7)</f>
        <v/>
      </c>
    </row>
    <row r="8" customFormat="false" ht="15" hidden="false" customHeight="false" outlineLevel="0" collapsed="false">
      <c r="A8" s="34"/>
      <c r="B8" s="30"/>
      <c r="C8" s="30"/>
      <c r="D8" s="30"/>
      <c r="E8" s="16" t="str">
        <f aca="false">IF(B8="","",IFERROR(INDEX(Produtos!$C$5:$C$44,MATCH(B8,Produtos!$A$5:$A$44,0)),0))</f>
        <v/>
      </c>
      <c r="F8" s="16" t="str">
        <f aca="false">IF(B8="","",C8*E8)</f>
        <v/>
      </c>
      <c r="G8" s="16" t="str">
        <f aca="false">IF(B8="","",C8*IFERROR(INDEX(Produtos!$D$5:$D$44,MATCH(B8,Produtos!$A$5:$A$44,0)),0))</f>
        <v/>
      </c>
      <c r="H8" s="16" t="str">
        <f aca="false">IF(B8="","",F8*IFERROR(INDEX(Despesas!$B$5:$B$8,MATCH(D8,Despesas!$A$5:$A$8,0)),0))</f>
        <v/>
      </c>
      <c r="I8" s="16" t="str">
        <f aca="false">IF(B8="","",F8-G8-H8)</f>
        <v/>
      </c>
    </row>
    <row r="9" customFormat="false" ht="15" hidden="false" customHeight="false" outlineLevel="0" collapsed="false">
      <c r="A9" s="34"/>
      <c r="B9" s="30"/>
      <c r="C9" s="30"/>
      <c r="D9" s="30"/>
      <c r="E9" s="16" t="str">
        <f aca="false">IF(B9="","",IFERROR(INDEX(Produtos!$C$5:$C$44,MATCH(B9,Produtos!$A$5:$A$44,0)),0))</f>
        <v/>
      </c>
      <c r="F9" s="16" t="str">
        <f aca="false">IF(B9="","",C9*E9)</f>
        <v/>
      </c>
      <c r="G9" s="16" t="str">
        <f aca="false">IF(B9="","",C9*IFERROR(INDEX(Produtos!$D$5:$D$44,MATCH(B9,Produtos!$A$5:$A$44,0)),0))</f>
        <v/>
      </c>
      <c r="H9" s="16" t="str">
        <f aca="false">IF(B9="","",F9*IFERROR(INDEX(Despesas!$B$5:$B$8,MATCH(D9,Despesas!$A$5:$A$8,0)),0))</f>
        <v/>
      </c>
      <c r="I9" s="16" t="str">
        <f aca="false">IF(B9="","",F9-G9-H9)</f>
        <v/>
      </c>
    </row>
    <row r="10" customFormat="false" ht="15" hidden="false" customHeight="false" outlineLevel="0" collapsed="false">
      <c r="A10" s="34"/>
      <c r="B10" s="30"/>
      <c r="C10" s="30"/>
      <c r="D10" s="30"/>
      <c r="E10" s="16" t="str">
        <f aca="false">IF(B10="","",IFERROR(INDEX(Produtos!$C$5:$C$44,MATCH(B10,Produtos!$A$5:$A$44,0)),0))</f>
        <v/>
      </c>
      <c r="F10" s="16" t="str">
        <f aca="false">IF(B10="","",C10*E10)</f>
        <v/>
      </c>
      <c r="G10" s="16" t="str">
        <f aca="false">IF(B10="","",C10*IFERROR(INDEX(Produtos!$D$5:$D$44,MATCH(B10,Produtos!$A$5:$A$44,0)),0))</f>
        <v/>
      </c>
      <c r="H10" s="16" t="str">
        <f aca="false">IF(B10="","",F10*IFERROR(INDEX(Despesas!$B$5:$B$8,MATCH(D10,Despesas!$A$5:$A$8,0)),0))</f>
        <v/>
      </c>
      <c r="I10" s="16" t="str">
        <f aca="false">IF(B10="","",F10-G10-H10)</f>
        <v/>
      </c>
    </row>
    <row r="11" customFormat="false" ht="15" hidden="false" customHeight="false" outlineLevel="0" collapsed="false">
      <c r="A11" s="34"/>
      <c r="B11" s="30"/>
      <c r="C11" s="30"/>
      <c r="D11" s="30"/>
      <c r="E11" s="16" t="str">
        <f aca="false">IF(B11="","",IFERROR(INDEX(Produtos!$C$5:$C$44,MATCH(B11,Produtos!$A$5:$A$44,0)),0))</f>
        <v/>
      </c>
      <c r="F11" s="16" t="str">
        <f aca="false">IF(B11="","",C11*E11)</f>
        <v/>
      </c>
      <c r="G11" s="16" t="str">
        <f aca="false">IF(B11="","",C11*IFERROR(INDEX(Produtos!$D$5:$D$44,MATCH(B11,Produtos!$A$5:$A$44,0)),0))</f>
        <v/>
      </c>
      <c r="H11" s="16" t="str">
        <f aca="false">IF(B11="","",F11*IFERROR(INDEX(Despesas!$B$5:$B$8,MATCH(D11,Despesas!$A$5:$A$8,0)),0))</f>
        <v/>
      </c>
      <c r="I11" s="16" t="str">
        <f aca="false">IF(B11="","",F11-G11-H11)</f>
        <v/>
      </c>
    </row>
    <row r="12" customFormat="false" ht="15" hidden="false" customHeight="false" outlineLevel="0" collapsed="false">
      <c r="A12" s="34"/>
      <c r="B12" s="30"/>
      <c r="C12" s="30"/>
      <c r="D12" s="30"/>
      <c r="E12" s="16" t="str">
        <f aca="false">IF(B12="","",IFERROR(INDEX(Produtos!$C$5:$C$44,MATCH(B12,Produtos!$A$5:$A$44,0)),0))</f>
        <v/>
      </c>
      <c r="F12" s="16" t="str">
        <f aca="false">IF(B12="","",C12*E12)</f>
        <v/>
      </c>
      <c r="G12" s="16" t="str">
        <f aca="false">IF(B12="","",C12*IFERROR(INDEX(Produtos!$D$5:$D$44,MATCH(B12,Produtos!$A$5:$A$44,0)),0))</f>
        <v/>
      </c>
      <c r="H12" s="16" t="str">
        <f aca="false">IF(B12="","",F12*IFERROR(INDEX(Despesas!$B$5:$B$8,MATCH(D12,Despesas!$A$5:$A$8,0)),0))</f>
        <v/>
      </c>
      <c r="I12" s="16" t="str">
        <f aca="false">IF(B12="","",F12-G12-H12)</f>
        <v/>
      </c>
    </row>
    <row r="13" customFormat="false" ht="15" hidden="false" customHeight="false" outlineLevel="0" collapsed="false">
      <c r="A13" s="34"/>
      <c r="B13" s="30"/>
      <c r="C13" s="30"/>
      <c r="D13" s="30"/>
      <c r="E13" s="16" t="str">
        <f aca="false">IF(B13="","",IFERROR(INDEX(Produtos!$C$5:$C$44,MATCH(B13,Produtos!$A$5:$A$44,0)),0))</f>
        <v/>
      </c>
      <c r="F13" s="16" t="str">
        <f aca="false">IF(B13="","",C13*E13)</f>
        <v/>
      </c>
      <c r="G13" s="16" t="str">
        <f aca="false">IF(B13="","",C13*IFERROR(INDEX(Produtos!$D$5:$D$44,MATCH(B13,Produtos!$A$5:$A$44,0)),0))</f>
        <v/>
      </c>
      <c r="H13" s="16" t="str">
        <f aca="false">IF(B13="","",F13*IFERROR(INDEX(Despesas!$B$5:$B$8,MATCH(D13,Despesas!$A$5:$A$8,0)),0))</f>
        <v/>
      </c>
      <c r="I13" s="16" t="str">
        <f aca="false">IF(B13="","",F13-G13-H13)</f>
        <v/>
      </c>
    </row>
    <row r="14" customFormat="false" ht="15" hidden="false" customHeight="false" outlineLevel="0" collapsed="false">
      <c r="A14" s="34"/>
      <c r="B14" s="30"/>
      <c r="C14" s="30"/>
      <c r="D14" s="30"/>
      <c r="E14" s="16" t="str">
        <f aca="false">IF(B14="","",IFERROR(INDEX(Produtos!$C$5:$C$44,MATCH(B14,Produtos!$A$5:$A$44,0)),0))</f>
        <v/>
      </c>
      <c r="F14" s="16" t="str">
        <f aca="false">IF(B14="","",C14*E14)</f>
        <v/>
      </c>
      <c r="G14" s="16" t="str">
        <f aca="false">IF(B14="","",C14*IFERROR(INDEX(Produtos!$D$5:$D$44,MATCH(B14,Produtos!$A$5:$A$44,0)),0))</f>
        <v/>
      </c>
      <c r="H14" s="16" t="str">
        <f aca="false">IF(B14="","",F14*IFERROR(INDEX(Despesas!$B$5:$B$8,MATCH(D14,Despesas!$A$5:$A$8,0)),0))</f>
        <v/>
      </c>
      <c r="I14" s="16" t="str">
        <f aca="false">IF(B14="","",F14-G14-H14)</f>
        <v/>
      </c>
    </row>
    <row r="15" customFormat="false" ht="15" hidden="false" customHeight="false" outlineLevel="0" collapsed="false">
      <c r="A15" s="34"/>
      <c r="B15" s="30"/>
      <c r="C15" s="30"/>
      <c r="D15" s="30"/>
      <c r="E15" s="16" t="str">
        <f aca="false">IF(B15="","",IFERROR(INDEX(Produtos!$C$5:$C$44,MATCH(B15,Produtos!$A$5:$A$44,0)),0))</f>
        <v/>
      </c>
      <c r="F15" s="16" t="str">
        <f aca="false">IF(B15="","",C15*E15)</f>
        <v/>
      </c>
      <c r="G15" s="16" t="str">
        <f aca="false">IF(B15="","",C15*IFERROR(INDEX(Produtos!$D$5:$D$44,MATCH(B15,Produtos!$A$5:$A$44,0)),0))</f>
        <v/>
      </c>
      <c r="H15" s="16" t="str">
        <f aca="false">IF(B15="","",F15*IFERROR(INDEX(Despesas!$B$5:$B$8,MATCH(D15,Despesas!$A$5:$A$8,0)),0))</f>
        <v/>
      </c>
      <c r="I15" s="16" t="str">
        <f aca="false">IF(B15="","",F15-G15-H15)</f>
        <v/>
      </c>
    </row>
    <row r="16" customFormat="false" ht="15" hidden="false" customHeight="false" outlineLevel="0" collapsed="false">
      <c r="A16" s="34"/>
      <c r="B16" s="30"/>
      <c r="C16" s="30"/>
      <c r="D16" s="30"/>
      <c r="E16" s="16" t="str">
        <f aca="false">IF(B16="","",IFERROR(INDEX(Produtos!$C$5:$C$44,MATCH(B16,Produtos!$A$5:$A$44,0)),0))</f>
        <v/>
      </c>
      <c r="F16" s="16" t="str">
        <f aca="false">IF(B16="","",C16*E16)</f>
        <v/>
      </c>
      <c r="G16" s="16" t="str">
        <f aca="false">IF(B16="","",C16*IFERROR(INDEX(Produtos!$D$5:$D$44,MATCH(B16,Produtos!$A$5:$A$44,0)),0))</f>
        <v/>
      </c>
      <c r="H16" s="16" t="str">
        <f aca="false">IF(B16="","",F16*IFERROR(INDEX(Despesas!$B$5:$B$8,MATCH(D16,Despesas!$A$5:$A$8,0)),0))</f>
        <v/>
      </c>
      <c r="I16" s="16" t="str">
        <f aca="false">IF(B16="","",F16-G16-H16)</f>
        <v/>
      </c>
    </row>
    <row r="17" customFormat="false" ht="15" hidden="false" customHeight="false" outlineLevel="0" collapsed="false">
      <c r="A17" s="34"/>
      <c r="B17" s="30"/>
      <c r="C17" s="30"/>
      <c r="D17" s="30"/>
      <c r="E17" s="16" t="str">
        <f aca="false">IF(B17="","",IFERROR(INDEX(Produtos!$C$5:$C$44,MATCH(B17,Produtos!$A$5:$A$44,0)),0))</f>
        <v/>
      </c>
      <c r="F17" s="16" t="str">
        <f aca="false">IF(B17="","",C17*E17)</f>
        <v/>
      </c>
      <c r="G17" s="16" t="str">
        <f aca="false">IF(B17="","",C17*IFERROR(INDEX(Produtos!$D$5:$D$44,MATCH(B17,Produtos!$A$5:$A$44,0)),0))</f>
        <v/>
      </c>
      <c r="H17" s="16" t="str">
        <f aca="false">IF(B17="","",F17*IFERROR(INDEX(Despesas!$B$5:$B$8,MATCH(D17,Despesas!$A$5:$A$8,0)),0))</f>
        <v/>
      </c>
      <c r="I17" s="16" t="str">
        <f aca="false">IF(B17="","",F17-G17-H17)</f>
        <v/>
      </c>
    </row>
    <row r="18" customFormat="false" ht="15" hidden="false" customHeight="false" outlineLevel="0" collapsed="false">
      <c r="A18" s="34"/>
      <c r="B18" s="30"/>
      <c r="C18" s="30"/>
      <c r="D18" s="30"/>
      <c r="E18" s="16" t="str">
        <f aca="false">IF(B18="","",IFERROR(INDEX(Produtos!$C$5:$C$44,MATCH(B18,Produtos!$A$5:$A$44,0)),0))</f>
        <v/>
      </c>
      <c r="F18" s="16" t="str">
        <f aca="false">IF(B18="","",C18*E18)</f>
        <v/>
      </c>
      <c r="G18" s="16" t="str">
        <f aca="false">IF(B18="","",C18*IFERROR(INDEX(Produtos!$D$5:$D$44,MATCH(B18,Produtos!$A$5:$A$44,0)),0))</f>
        <v/>
      </c>
      <c r="H18" s="16" t="str">
        <f aca="false">IF(B18="","",F18*IFERROR(INDEX(Despesas!$B$5:$B$8,MATCH(D18,Despesas!$A$5:$A$8,0)),0))</f>
        <v/>
      </c>
      <c r="I18" s="16" t="str">
        <f aca="false">IF(B18="","",F18-G18-H18)</f>
        <v/>
      </c>
    </row>
    <row r="19" customFormat="false" ht="15" hidden="false" customHeight="false" outlineLevel="0" collapsed="false">
      <c r="A19" s="34"/>
      <c r="B19" s="30"/>
      <c r="C19" s="30"/>
      <c r="D19" s="30"/>
      <c r="E19" s="16" t="str">
        <f aca="false">IF(B19="","",IFERROR(INDEX(Produtos!$C$5:$C$44,MATCH(B19,Produtos!$A$5:$A$44,0)),0))</f>
        <v/>
      </c>
      <c r="F19" s="16" t="str">
        <f aca="false">IF(B19="","",C19*E19)</f>
        <v/>
      </c>
      <c r="G19" s="16" t="str">
        <f aca="false">IF(B19="","",C19*IFERROR(INDEX(Produtos!$D$5:$D$44,MATCH(B19,Produtos!$A$5:$A$44,0)),0))</f>
        <v/>
      </c>
      <c r="H19" s="16" t="str">
        <f aca="false">IF(B19="","",F19*IFERROR(INDEX(Despesas!$B$5:$B$8,MATCH(D19,Despesas!$A$5:$A$8,0)),0))</f>
        <v/>
      </c>
      <c r="I19" s="16" t="str">
        <f aca="false">IF(B19="","",F19-G19-H19)</f>
        <v/>
      </c>
    </row>
    <row r="20" customFormat="false" ht="15" hidden="false" customHeight="false" outlineLevel="0" collapsed="false">
      <c r="A20" s="34"/>
      <c r="B20" s="30"/>
      <c r="C20" s="30"/>
      <c r="D20" s="30"/>
      <c r="E20" s="16" t="str">
        <f aca="false">IF(B20="","",IFERROR(INDEX(Produtos!$C$5:$C$44,MATCH(B20,Produtos!$A$5:$A$44,0)),0))</f>
        <v/>
      </c>
      <c r="F20" s="16" t="str">
        <f aca="false">IF(B20="","",C20*E20)</f>
        <v/>
      </c>
      <c r="G20" s="16" t="str">
        <f aca="false">IF(B20="","",C20*IFERROR(INDEX(Produtos!$D$5:$D$44,MATCH(B20,Produtos!$A$5:$A$44,0)),0))</f>
        <v/>
      </c>
      <c r="H20" s="16" t="str">
        <f aca="false">IF(B20="","",F20*IFERROR(INDEX(Despesas!$B$5:$B$8,MATCH(D20,Despesas!$A$5:$A$8,0)),0))</f>
        <v/>
      </c>
      <c r="I20" s="16" t="str">
        <f aca="false">IF(B20="","",F20-G20-H20)</f>
        <v/>
      </c>
    </row>
    <row r="21" customFormat="false" ht="15" hidden="false" customHeight="false" outlineLevel="0" collapsed="false">
      <c r="A21" s="34"/>
      <c r="B21" s="30"/>
      <c r="C21" s="30"/>
      <c r="D21" s="30"/>
      <c r="E21" s="16" t="str">
        <f aca="false">IF(B21="","",IFERROR(INDEX(Produtos!$C$5:$C$44,MATCH(B21,Produtos!$A$5:$A$44,0)),0))</f>
        <v/>
      </c>
      <c r="F21" s="16" t="str">
        <f aca="false">IF(B21="","",C21*E21)</f>
        <v/>
      </c>
      <c r="G21" s="16" t="str">
        <f aca="false">IF(B21="","",C21*IFERROR(INDEX(Produtos!$D$5:$D$44,MATCH(B21,Produtos!$A$5:$A$44,0)),0))</f>
        <v/>
      </c>
      <c r="H21" s="16" t="str">
        <f aca="false">IF(B21="","",F21*IFERROR(INDEX(Despesas!$B$5:$B$8,MATCH(D21,Despesas!$A$5:$A$8,0)),0))</f>
        <v/>
      </c>
      <c r="I21" s="16" t="str">
        <f aca="false">IF(B21="","",F21-G21-H21)</f>
        <v/>
      </c>
    </row>
    <row r="22" customFormat="false" ht="15" hidden="false" customHeight="false" outlineLevel="0" collapsed="false">
      <c r="A22" s="34"/>
      <c r="B22" s="30"/>
      <c r="C22" s="30"/>
      <c r="D22" s="30"/>
      <c r="E22" s="16" t="str">
        <f aca="false">IF(B22="","",IFERROR(INDEX(Produtos!$C$5:$C$44,MATCH(B22,Produtos!$A$5:$A$44,0)),0))</f>
        <v/>
      </c>
      <c r="F22" s="16" t="str">
        <f aca="false">IF(B22="","",C22*E22)</f>
        <v/>
      </c>
      <c r="G22" s="16" t="str">
        <f aca="false">IF(B22="","",C22*IFERROR(INDEX(Produtos!$D$5:$D$44,MATCH(B22,Produtos!$A$5:$A$44,0)),0))</f>
        <v/>
      </c>
      <c r="H22" s="16" t="str">
        <f aca="false">IF(B22="","",F22*IFERROR(INDEX(Despesas!$B$5:$B$8,MATCH(D22,Despesas!$A$5:$A$8,0)),0))</f>
        <v/>
      </c>
      <c r="I22" s="16" t="str">
        <f aca="false">IF(B22="","",F22-G22-H22)</f>
        <v/>
      </c>
    </row>
    <row r="23" customFormat="false" ht="15" hidden="false" customHeight="false" outlineLevel="0" collapsed="false">
      <c r="A23" s="34"/>
      <c r="B23" s="30"/>
      <c r="C23" s="30"/>
      <c r="D23" s="30"/>
      <c r="E23" s="16" t="str">
        <f aca="false">IF(B23="","",IFERROR(INDEX(Produtos!$C$5:$C$44,MATCH(B23,Produtos!$A$5:$A$44,0)),0))</f>
        <v/>
      </c>
      <c r="F23" s="16" t="str">
        <f aca="false">IF(B23="","",C23*E23)</f>
        <v/>
      </c>
      <c r="G23" s="16" t="str">
        <f aca="false">IF(B23="","",C23*IFERROR(INDEX(Produtos!$D$5:$D$44,MATCH(B23,Produtos!$A$5:$A$44,0)),0))</f>
        <v/>
      </c>
      <c r="H23" s="16" t="str">
        <f aca="false">IF(B23="","",F23*IFERROR(INDEX(Despesas!$B$5:$B$8,MATCH(D23,Despesas!$A$5:$A$8,0)),0))</f>
        <v/>
      </c>
      <c r="I23" s="16" t="str">
        <f aca="false">IF(B23="","",F23-G23-H23)</f>
        <v/>
      </c>
    </row>
    <row r="24" customFormat="false" ht="15" hidden="false" customHeight="false" outlineLevel="0" collapsed="false">
      <c r="A24" s="34"/>
      <c r="B24" s="30"/>
      <c r="C24" s="30"/>
      <c r="D24" s="30"/>
      <c r="E24" s="16" t="str">
        <f aca="false">IF(B24="","",IFERROR(INDEX(Produtos!$C$5:$C$44,MATCH(B24,Produtos!$A$5:$A$44,0)),0))</f>
        <v/>
      </c>
      <c r="F24" s="16" t="str">
        <f aca="false">IF(B24="","",C24*E24)</f>
        <v/>
      </c>
      <c r="G24" s="16" t="str">
        <f aca="false">IF(B24="","",C24*IFERROR(INDEX(Produtos!$D$5:$D$44,MATCH(B24,Produtos!$A$5:$A$44,0)),0))</f>
        <v/>
      </c>
      <c r="H24" s="16" t="str">
        <f aca="false">IF(B24="","",F24*IFERROR(INDEX(Despesas!$B$5:$B$8,MATCH(D24,Despesas!$A$5:$A$8,0)),0))</f>
        <v/>
      </c>
      <c r="I24" s="16" t="str">
        <f aca="false">IF(B24="","",F24-G24-H24)</f>
        <v/>
      </c>
    </row>
    <row r="25" customFormat="false" ht="15" hidden="false" customHeight="false" outlineLevel="0" collapsed="false">
      <c r="A25" s="34"/>
      <c r="B25" s="30"/>
      <c r="C25" s="30"/>
      <c r="D25" s="30"/>
      <c r="E25" s="16" t="str">
        <f aca="false">IF(B25="","",IFERROR(INDEX(Produtos!$C$5:$C$44,MATCH(B25,Produtos!$A$5:$A$44,0)),0))</f>
        <v/>
      </c>
      <c r="F25" s="16" t="str">
        <f aca="false">IF(B25="","",C25*E25)</f>
        <v/>
      </c>
      <c r="G25" s="16" t="str">
        <f aca="false">IF(B25="","",C25*IFERROR(INDEX(Produtos!$D$5:$D$44,MATCH(B25,Produtos!$A$5:$A$44,0)),0))</f>
        <v/>
      </c>
      <c r="H25" s="16" t="str">
        <f aca="false">IF(B25="","",F25*IFERROR(INDEX(Despesas!$B$5:$B$8,MATCH(D25,Despesas!$A$5:$A$8,0)),0))</f>
        <v/>
      </c>
      <c r="I25" s="16" t="str">
        <f aca="false">IF(B25="","",F25-G25-H25)</f>
        <v/>
      </c>
    </row>
    <row r="26" customFormat="false" ht="15" hidden="false" customHeight="false" outlineLevel="0" collapsed="false">
      <c r="A26" s="34"/>
      <c r="B26" s="30"/>
      <c r="C26" s="30"/>
      <c r="D26" s="30"/>
      <c r="E26" s="16" t="str">
        <f aca="false">IF(B26="","",IFERROR(INDEX(Produtos!$C$5:$C$44,MATCH(B26,Produtos!$A$5:$A$44,0)),0))</f>
        <v/>
      </c>
      <c r="F26" s="16" t="str">
        <f aca="false">IF(B26="","",C26*E26)</f>
        <v/>
      </c>
      <c r="G26" s="16" t="str">
        <f aca="false">IF(B26="","",C26*IFERROR(INDEX(Produtos!$D$5:$D$44,MATCH(B26,Produtos!$A$5:$A$44,0)),0))</f>
        <v/>
      </c>
      <c r="H26" s="16" t="str">
        <f aca="false">IF(B26="","",F26*IFERROR(INDEX(Despesas!$B$5:$B$8,MATCH(D26,Despesas!$A$5:$A$8,0)),0))</f>
        <v/>
      </c>
      <c r="I26" s="16" t="str">
        <f aca="false">IF(B26="","",F26-G26-H26)</f>
        <v/>
      </c>
    </row>
    <row r="27" customFormat="false" ht="15" hidden="false" customHeight="false" outlineLevel="0" collapsed="false">
      <c r="A27" s="34"/>
      <c r="B27" s="30"/>
      <c r="C27" s="30"/>
      <c r="D27" s="30"/>
      <c r="E27" s="16" t="str">
        <f aca="false">IF(B27="","",IFERROR(INDEX(Produtos!$C$5:$C$44,MATCH(B27,Produtos!$A$5:$A$44,0)),0))</f>
        <v/>
      </c>
      <c r="F27" s="16" t="str">
        <f aca="false">IF(B27="","",C27*E27)</f>
        <v/>
      </c>
      <c r="G27" s="16" t="str">
        <f aca="false">IF(B27="","",C27*IFERROR(INDEX(Produtos!$D$5:$D$44,MATCH(B27,Produtos!$A$5:$A$44,0)),0))</f>
        <v/>
      </c>
      <c r="H27" s="16" t="str">
        <f aca="false">IF(B27="","",F27*IFERROR(INDEX(Despesas!$B$5:$B$8,MATCH(D27,Despesas!$A$5:$A$8,0)),0))</f>
        <v/>
      </c>
      <c r="I27" s="16" t="str">
        <f aca="false">IF(B27="","",F27-G27-H27)</f>
        <v/>
      </c>
    </row>
    <row r="28" customFormat="false" ht="15" hidden="false" customHeight="false" outlineLevel="0" collapsed="false">
      <c r="A28" s="34"/>
      <c r="B28" s="30"/>
      <c r="C28" s="30"/>
      <c r="D28" s="30"/>
      <c r="E28" s="16" t="str">
        <f aca="false">IF(B28="","",IFERROR(INDEX(Produtos!$C$5:$C$44,MATCH(B28,Produtos!$A$5:$A$44,0)),0))</f>
        <v/>
      </c>
      <c r="F28" s="16" t="str">
        <f aca="false">IF(B28="","",C28*E28)</f>
        <v/>
      </c>
      <c r="G28" s="16" t="str">
        <f aca="false">IF(B28="","",C28*IFERROR(INDEX(Produtos!$D$5:$D$44,MATCH(B28,Produtos!$A$5:$A$44,0)),0))</f>
        <v/>
      </c>
      <c r="H28" s="16" t="str">
        <f aca="false">IF(B28="","",F28*IFERROR(INDEX(Despesas!$B$5:$B$8,MATCH(D28,Despesas!$A$5:$A$8,0)),0))</f>
        <v/>
      </c>
      <c r="I28" s="16" t="str">
        <f aca="false">IF(B28="","",F28-G28-H28)</f>
        <v/>
      </c>
    </row>
    <row r="29" customFormat="false" ht="15" hidden="false" customHeight="false" outlineLevel="0" collapsed="false">
      <c r="A29" s="34"/>
      <c r="B29" s="30"/>
      <c r="C29" s="30"/>
      <c r="D29" s="30"/>
      <c r="E29" s="16" t="str">
        <f aca="false">IF(B29="","",IFERROR(INDEX(Produtos!$C$5:$C$44,MATCH(B29,Produtos!$A$5:$A$44,0)),0))</f>
        <v/>
      </c>
      <c r="F29" s="16" t="str">
        <f aca="false">IF(B29="","",C29*E29)</f>
        <v/>
      </c>
      <c r="G29" s="16" t="str">
        <f aca="false">IF(B29="","",C29*IFERROR(INDEX(Produtos!$D$5:$D$44,MATCH(B29,Produtos!$A$5:$A$44,0)),0))</f>
        <v/>
      </c>
      <c r="H29" s="16" t="str">
        <f aca="false">IF(B29="","",F29*IFERROR(INDEX(Despesas!$B$5:$B$8,MATCH(D29,Despesas!$A$5:$A$8,0)),0))</f>
        <v/>
      </c>
      <c r="I29" s="16" t="str">
        <f aca="false">IF(B29="","",F29-G29-H29)</f>
        <v/>
      </c>
    </row>
    <row r="30" customFormat="false" ht="15" hidden="false" customHeight="false" outlineLevel="0" collapsed="false">
      <c r="A30" s="34"/>
      <c r="B30" s="30"/>
      <c r="C30" s="30"/>
      <c r="D30" s="30"/>
      <c r="E30" s="16" t="str">
        <f aca="false">IF(B30="","",IFERROR(INDEX(Produtos!$C$5:$C$44,MATCH(B30,Produtos!$A$5:$A$44,0)),0))</f>
        <v/>
      </c>
      <c r="F30" s="16" t="str">
        <f aca="false">IF(B30="","",C30*E30)</f>
        <v/>
      </c>
      <c r="G30" s="16" t="str">
        <f aca="false">IF(B30="","",C30*IFERROR(INDEX(Produtos!$D$5:$D$44,MATCH(B30,Produtos!$A$5:$A$44,0)),0))</f>
        <v/>
      </c>
      <c r="H30" s="16" t="str">
        <f aca="false">IF(B30="","",F30*IFERROR(INDEX(Despesas!$B$5:$B$8,MATCH(D30,Despesas!$A$5:$A$8,0)),0))</f>
        <v/>
      </c>
      <c r="I30" s="16" t="str">
        <f aca="false">IF(B30="","",F30-G30-H30)</f>
        <v/>
      </c>
    </row>
    <row r="31" customFormat="false" ht="15" hidden="false" customHeight="false" outlineLevel="0" collapsed="false">
      <c r="A31" s="34"/>
      <c r="B31" s="30"/>
      <c r="C31" s="30"/>
      <c r="D31" s="30"/>
      <c r="E31" s="16" t="str">
        <f aca="false">IF(B31="","",IFERROR(INDEX(Produtos!$C$5:$C$44,MATCH(B31,Produtos!$A$5:$A$44,0)),0))</f>
        <v/>
      </c>
      <c r="F31" s="16" t="str">
        <f aca="false">IF(B31="","",C31*E31)</f>
        <v/>
      </c>
      <c r="G31" s="16" t="str">
        <f aca="false">IF(B31="","",C31*IFERROR(INDEX(Produtos!$D$5:$D$44,MATCH(B31,Produtos!$A$5:$A$44,0)),0))</f>
        <v/>
      </c>
      <c r="H31" s="16" t="str">
        <f aca="false">IF(B31="","",F31*IFERROR(INDEX(Despesas!$B$5:$B$8,MATCH(D31,Despesas!$A$5:$A$8,0)),0))</f>
        <v/>
      </c>
      <c r="I31" s="16" t="str">
        <f aca="false">IF(B31="","",F31-G31-H31)</f>
        <v/>
      </c>
    </row>
    <row r="32" customFormat="false" ht="15" hidden="false" customHeight="false" outlineLevel="0" collapsed="false">
      <c r="A32" s="34"/>
      <c r="B32" s="30"/>
      <c r="C32" s="30"/>
      <c r="D32" s="30"/>
      <c r="E32" s="16" t="str">
        <f aca="false">IF(B32="","",IFERROR(INDEX(Produtos!$C$5:$C$44,MATCH(B32,Produtos!$A$5:$A$44,0)),0))</f>
        <v/>
      </c>
      <c r="F32" s="16" t="str">
        <f aca="false">IF(B32="","",C32*E32)</f>
        <v/>
      </c>
      <c r="G32" s="16" t="str">
        <f aca="false">IF(B32="","",C32*IFERROR(INDEX(Produtos!$D$5:$D$44,MATCH(B32,Produtos!$A$5:$A$44,0)),0))</f>
        <v/>
      </c>
      <c r="H32" s="16" t="str">
        <f aca="false">IF(B32="","",F32*IFERROR(INDEX(Despesas!$B$5:$B$8,MATCH(D32,Despesas!$A$5:$A$8,0)),0))</f>
        <v/>
      </c>
      <c r="I32" s="16" t="str">
        <f aca="false">IF(B32="","",F32-G32-H32)</f>
        <v/>
      </c>
    </row>
    <row r="33" customFormat="false" ht="15" hidden="false" customHeight="false" outlineLevel="0" collapsed="false">
      <c r="A33" s="34"/>
      <c r="B33" s="30"/>
      <c r="C33" s="30"/>
      <c r="D33" s="30"/>
      <c r="E33" s="16" t="str">
        <f aca="false">IF(B33="","",IFERROR(INDEX(Produtos!$C$5:$C$44,MATCH(B33,Produtos!$A$5:$A$44,0)),0))</f>
        <v/>
      </c>
      <c r="F33" s="16" t="str">
        <f aca="false">IF(B33="","",C33*E33)</f>
        <v/>
      </c>
      <c r="G33" s="16" t="str">
        <f aca="false">IF(B33="","",C33*IFERROR(INDEX(Produtos!$D$5:$D$44,MATCH(B33,Produtos!$A$5:$A$44,0)),0))</f>
        <v/>
      </c>
      <c r="H33" s="16" t="str">
        <f aca="false">IF(B33="","",F33*IFERROR(INDEX(Despesas!$B$5:$B$8,MATCH(D33,Despesas!$A$5:$A$8,0)),0))</f>
        <v/>
      </c>
      <c r="I33" s="16" t="str">
        <f aca="false">IF(B33="","",F33-G33-H33)</f>
        <v/>
      </c>
    </row>
    <row r="34" customFormat="false" ht="15" hidden="false" customHeight="false" outlineLevel="0" collapsed="false">
      <c r="A34" s="34"/>
      <c r="B34" s="30"/>
      <c r="C34" s="30"/>
      <c r="D34" s="30"/>
      <c r="E34" s="16" t="str">
        <f aca="false">IF(B34="","",IFERROR(INDEX(Produtos!$C$5:$C$44,MATCH(B34,Produtos!$A$5:$A$44,0)),0))</f>
        <v/>
      </c>
      <c r="F34" s="16" t="str">
        <f aca="false">IF(B34="","",C34*E34)</f>
        <v/>
      </c>
      <c r="G34" s="16" t="str">
        <f aca="false">IF(B34="","",C34*IFERROR(INDEX(Produtos!$D$5:$D$44,MATCH(B34,Produtos!$A$5:$A$44,0)),0))</f>
        <v/>
      </c>
      <c r="H34" s="16" t="str">
        <f aca="false">IF(B34="","",F34*IFERROR(INDEX(Despesas!$B$5:$B$8,MATCH(D34,Despesas!$A$5:$A$8,0)),0))</f>
        <v/>
      </c>
      <c r="I34" s="16" t="str">
        <f aca="false">IF(B34="","",F34-G34-H34)</f>
        <v/>
      </c>
    </row>
    <row r="35" customFormat="false" ht="15" hidden="false" customHeight="false" outlineLevel="0" collapsed="false">
      <c r="A35" s="34"/>
      <c r="B35" s="30"/>
      <c r="C35" s="30"/>
      <c r="D35" s="30"/>
      <c r="E35" s="16" t="str">
        <f aca="false">IF(B35="","",IFERROR(INDEX(Produtos!$C$5:$C$44,MATCH(B35,Produtos!$A$5:$A$44,0)),0))</f>
        <v/>
      </c>
      <c r="F35" s="16" t="str">
        <f aca="false">IF(B35="","",C35*E35)</f>
        <v/>
      </c>
      <c r="G35" s="16" t="str">
        <f aca="false">IF(B35="","",C35*IFERROR(INDEX(Produtos!$D$5:$D$44,MATCH(B35,Produtos!$A$5:$A$44,0)),0))</f>
        <v/>
      </c>
      <c r="H35" s="16" t="str">
        <f aca="false">IF(B35="","",F35*IFERROR(INDEX(Despesas!$B$5:$B$8,MATCH(D35,Despesas!$A$5:$A$8,0)),0))</f>
        <v/>
      </c>
      <c r="I35" s="16" t="str">
        <f aca="false">IF(B35="","",F35-G35-H35)</f>
        <v/>
      </c>
    </row>
    <row r="36" customFormat="false" ht="15" hidden="false" customHeight="false" outlineLevel="0" collapsed="false">
      <c r="A36" s="34"/>
      <c r="B36" s="30"/>
      <c r="C36" s="30"/>
      <c r="D36" s="30"/>
      <c r="E36" s="16" t="str">
        <f aca="false">IF(B36="","",IFERROR(INDEX(Produtos!$C$5:$C$44,MATCH(B36,Produtos!$A$5:$A$44,0)),0))</f>
        <v/>
      </c>
      <c r="F36" s="16" t="str">
        <f aca="false">IF(B36="","",C36*E36)</f>
        <v/>
      </c>
      <c r="G36" s="16" t="str">
        <f aca="false">IF(B36="","",C36*IFERROR(INDEX(Produtos!$D$5:$D$44,MATCH(B36,Produtos!$A$5:$A$44,0)),0))</f>
        <v/>
      </c>
      <c r="H36" s="16" t="str">
        <f aca="false">IF(B36="","",F36*IFERROR(INDEX(Despesas!$B$5:$B$8,MATCH(D36,Despesas!$A$5:$A$8,0)),0))</f>
        <v/>
      </c>
      <c r="I36" s="16" t="str">
        <f aca="false">IF(B36="","",F36-G36-H36)</f>
        <v/>
      </c>
    </row>
    <row r="37" customFormat="false" ht="15" hidden="false" customHeight="false" outlineLevel="0" collapsed="false">
      <c r="A37" s="34"/>
      <c r="B37" s="30"/>
      <c r="C37" s="30"/>
      <c r="D37" s="30"/>
      <c r="E37" s="16" t="str">
        <f aca="false">IF(B37="","",IFERROR(INDEX(Produtos!$C$5:$C$44,MATCH(B37,Produtos!$A$5:$A$44,0)),0))</f>
        <v/>
      </c>
      <c r="F37" s="16" t="str">
        <f aca="false">IF(B37="","",C37*E37)</f>
        <v/>
      </c>
      <c r="G37" s="16" t="str">
        <f aca="false">IF(B37="","",C37*IFERROR(INDEX(Produtos!$D$5:$D$44,MATCH(B37,Produtos!$A$5:$A$44,0)),0))</f>
        <v/>
      </c>
      <c r="H37" s="16" t="str">
        <f aca="false">IF(B37="","",F37*IFERROR(INDEX(Despesas!$B$5:$B$8,MATCH(D37,Despesas!$A$5:$A$8,0)),0))</f>
        <v/>
      </c>
      <c r="I37" s="16" t="str">
        <f aca="false">IF(B37="","",F37-G37-H37)</f>
        <v/>
      </c>
    </row>
    <row r="38" customFormat="false" ht="15" hidden="false" customHeight="false" outlineLevel="0" collapsed="false">
      <c r="A38" s="34"/>
      <c r="B38" s="30"/>
      <c r="C38" s="30"/>
      <c r="D38" s="30"/>
      <c r="E38" s="16" t="str">
        <f aca="false">IF(B38="","",IFERROR(INDEX(Produtos!$C$5:$C$44,MATCH(B38,Produtos!$A$5:$A$44,0)),0))</f>
        <v/>
      </c>
      <c r="F38" s="16" t="str">
        <f aca="false">IF(B38="","",C38*E38)</f>
        <v/>
      </c>
      <c r="G38" s="16" t="str">
        <f aca="false">IF(B38="","",C38*IFERROR(INDEX(Produtos!$D$5:$D$44,MATCH(B38,Produtos!$A$5:$A$44,0)),0))</f>
        <v/>
      </c>
      <c r="H38" s="16" t="str">
        <f aca="false">IF(B38="","",F38*IFERROR(INDEX(Despesas!$B$5:$B$8,MATCH(D38,Despesas!$A$5:$A$8,0)),0))</f>
        <v/>
      </c>
      <c r="I38" s="16" t="str">
        <f aca="false">IF(B38="","",F38-G38-H38)</f>
        <v/>
      </c>
    </row>
    <row r="39" customFormat="false" ht="15" hidden="false" customHeight="false" outlineLevel="0" collapsed="false">
      <c r="A39" s="34"/>
      <c r="B39" s="30"/>
      <c r="C39" s="30"/>
      <c r="D39" s="30"/>
      <c r="E39" s="16" t="str">
        <f aca="false">IF(B39="","",IFERROR(INDEX(Produtos!$C$5:$C$44,MATCH(B39,Produtos!$A$5:$A$44,0)),0))</f>
        <v/>
      </c>
      <c r="F39" s="16" t="str">
        <f aca="false">IF(B39="","",C39*E39)</f>
        <v/>
      </c>
      <c r="G39" s="16" t="str">
        <f aca="false">IF(B39="","",C39*IFERROR(INDEX(Produtos!$D$5:$D$44,MATCH(B39,Produtos!$A$5:$A$44,0)),0))</f>
        <v/>
      </c>
      <c r="H39" s="16" t="str">
        <f aca="false">IF(B39="","",F39*IFERROR(INDEX(Despesas!$B$5:$B$8,MATCH(D39,Despesas!$A$5:$A$8,0)),0))</f>
        <v/>
      </c>
      <c r="I39" s="16" t="str">
        <f aca="false">IF(B39="","",F39-G39-H39)</f>
        <v/>
      </c>
    </row>
    <row r="40" customFormat="false" ht="15" hidden="false" customHeight="false" outlineLevel="0" collapsed="false">
      <c r="A40" s="34"/>
      <c r="B40" s="30"/>
      <c r="C40" s="30"/>
      <c r="D40" s="30"/>
      <c r="E40" s="16" t="str">
        <f aca="false">IF(B40="","",IFERROR(INDEX(Produtos!$C$5:$C$44,MATCH(B40,Produtos!$A$5:$A$44,0)),0))</f>
        <v/>
      </c>
      <c r="F40" s="16" t="str">
        <f aca="false">IF(B40="","",C40*E40)</f>
        <v/>
      </c>
      <c r="G40" s="16" t="str">
        <f aca="false">IF(B40="","",C40*IFERROR(INDEX(Produtos!$D$5:$D$44,MATCH(B40,Produtos!$A$5:$A$44,0)),0))</f>
        <v/>
      </c>
      <c r="H40" s="16" t="str">
        <f aca="false">IF(B40="","",F40*IFERROR(INDEX(Despesas!$B$5:$B$8,MATCH(D40,Despesas!$A$5:$A$8,0)),0))</f>
        <v/>
      </c>
      <c r="I40" s="16" t="str">
        <f aca="false">IF(B40="","",F40-G40-H40)</f>
        <v/>
      </c>
    </row>
    <row r="41" customFormat="false" ht="15" hidden="false" customHeight="false" outlineLevel="0" collapsed="false">
      <c r="A41" s="34"/>
      <c r="B41" s="30"/>
      <c r="C41" s="30"/>
      <c r="D41" s="30"/>
      <c r="E41" s="16" t="str">
        <f aca="false">IF(B41="","",IFERROR(INDEX(Produtos!$C$5:$C$44,MATCH(B41,Produtos!$A$5:$A$44,0)),0))</f>
        <v/>
      </c>
      <c r="F41" s="16" t="str">
        <f aca="false">IF(B41="","",C41*E41)</f>
        <v/>
      </c>
      <c r="G41" s="16" t="str">
        <f aca="false">IF(B41="","",C41*IFERROR(INDEX(Produtos!$D$5:$D$44,MATCH(B41,Produtos!$A$5:$A$44,0)),0))</f>
        <v/>
      </c>
      <c r="H41" s="16" t="str">
        <f aca="false">IF(B41="","",F41*IFERROR(INDEX(Despesas!$B$5:$B$8,MATCH(D41,Despesas!$A$5:$A$8,0)),0))</f>
        <v/>
      </c>
      <c r="I41" s="16" t="str">
        <f aca="false">IF(B41="","",F41-G41-H41)</f>
        <v/>
      </c>
    </row>
    <row r="42" customFormat="false" ht="15" hidden="false" customHeight="false" outlineLevel="0" collapsed="false">
      <c r="A42" s="34"/>
      <c r="B42" s="30"/>
      <c r="C42" s="30"/>
      <c r="D42" s="30"/>
      <c r="E42" s="16" t="str">
        <f aca="false">IF(B42="","",IFERROR(INDEX(Produtos!$C$5:$C$44,MATCH(B42,Produtos!$A$5:$A$44,0)),0))</f>
        <v/>
      </c>
      <c r="F42" s="16" t="str">
        <f aca="false">IF(B42="","",C42*E42)</f>
        <v/>
      </c>
      <c r="G42" s="16" t="str">
        <f aca="false">IF(B42="","",C42*IFERROR(INDEX(Produtos!$D$5:$D$44,MATCH(B42,Produtos!$A$5:$A$44,0)),0))</f>
        <v/>
      </c>
      <c r="H42" s="16" t="str">
        <f aca="false">IF(B42="","",F42*IFERROR(INDEX(Despesas!$B$5:$B$8,MATCH(D42,Despesas!$A$5:$A$8,0)),0))</f>
        <v/>
      </c>
      <c r="I42" s="16" t="str">
        <f aca="false">IF(B42="","",F42-G42-H42)</f>
        <v/>
      </c>
    </row>
    <row r="43" customFormat="false" ht="15" hidden="false" customHeight="false" outlineLevel="0" collapsed="false">
      <c r="A43" s="34"/>
      <c r="B43" s="30"/>
      <c r="C43" s="30"/>
      <c r="D43" s="30"/>
      <c r="E43" s="16" t="str">
        <f aca="false">IF(B43="","",IFERROR(INDEX(Produtos!$C$5:$C$44,MATCH(B43,Produtos!$A$5:$A$44,0)),0))</f>
        <v/>
      </c>
      <c r="F43" s="16" t="str">
        <f aca="false">IF(B43="","",C43*E43)</f>
        <v/>
      </c>
      <c r="G43" s="16" t="str">
        <f aca="false">IF(B43="","",C43*IFERROR(INDEX(Produtos!$D$5:$D$44,MATCH(B43,Produtos!$A$5:$A$44,0)),0))</f>
        <v/>
      </c>
      <c r="H43" s="16" t="str">
        <f aca="false">IF(B43="","",F43*IFERROR(INDEX(Despesas!$B$5:$B$8,MATCH(D43,Despesas!$A$5:$A$8,0)),0))</f>
        <v/>
      </c>
      <c r="I43" s="16" t="str">
        <f aca="false">IF(B43="","",F43-G43-H43)</f>
        <v/>
      </c>
    </row>
    <row r="44" customFormat="false" ht="15" hidden="false" customHeight="false" outlineLevel="0" collapsed="false">
      <c r="A44" s="34"/>
      <c r="B44" s="30"/>
      <c r="C44" s="30"/>
      <c r="D44" s="30"/>
      <c r="E44" s="16" t="str">
        <f aca="false">IF(B44="","",IFERROR(INDEX(Produtos!$C$5:$C$44,MATCH(B44,Produtos!$A$5:$A$44,0)),0))</f>
        <v/>
      </c>
      <c r="F44" s="16" t="str">
        <f aca="false">IF(B44="","",C44*E44)</f>
        <v/>
      </c>
      <c r="G44" s="16" t="str">
        <f aca="false">IF(B44="","",C44*IFERROR(INDEX(Produtos!$D$5:$D$44,MATCH(B44,Produtos!$A$5:$A$44,0)),0))</f>
        <v/>
      </c>
      <c r="H44" s="16" t="str">
        <f aca="false">IF(B44="","",F44*IFERROR(INDEX(Despesas!$B$5:$B$8,MATCH(D44,Despesas!$A$5:$A$8,0)),0))</f>
        <v/>
      </c>
      <c r="I44" s="16" t="str">
        <f aca="false">IF(B44="","",F44-G44-H44)</f>
        <v/>
      </c>
    </row>
    <row r="45" customFormat="false" ht="15" hidden="false" customHeight="false" outlineLevel="0" collapsed="false">
      <c r="A45" s="34"/>
      <c r="B45" s="30"/>
      <c r="C45" s="30"/>
      <c r="D45" s="30"/>
      <c r="E45" s="16" t="str">
        <f aca="false">IF(B45="","",IFERROR(INDEX(Produtos!$C$5:$C$44,MATCH(B45,Produtos!$A$5:$A$44,0)),0))</f>
        <v/>
      </c>
      <c r="F45" s="16" t="str">
        <f aca="false">IF(B45="","",C45*E45)</f>
        <v/>
      </c>
      <c r="G45" s="16" t="str">
        <f aca="false">IF(B45="","",C45*IFERROR(INDEX(Produtos!$D$5:$D$44,MATCH(B45,Produtos!$A$5:$A$44,0)),0))</f>
        <v/>
      </c>
      <c r="H45" s="16" t="str">
        <f aca="false">IF(B45="","",F45*IFERROR(INDEX(Despesas!$B$5:$B$8,MATCH(D45,Despesas!$A$5:$A$8,0)),0))</f>
        <v/>
      </c>
      <c r="I45" s="16" t="str">
        <f aca="false">IF(B45="","",F45-G45-H45)</f>
        <v/>
      </c>
    </row>
    <row r="46" customFormat="false" ht="15" hidden="false" customHeight="false" outlineLevel="0" collapsed="false">
      <c r="A46" s="34"/>
      <c r="B46" s="30"/>
      <c r="C46" s="30"/>
      <c r="D46" s="30"/>
      <c r="E46" s="16" t="str">
        <f aca="false">IF(B46="","",IFERROR(INDEX(Produtos!$C$5:$C$44,MATCH(B46,Produtos!$A$5:$A$44,0)),0))</f>
        <v/>
      </c>
      <c r="F46" s="16" t="str">
        <f aca="false">IF(B46="","",C46*E46)</f>
        <v/>
      </c>
      <c r="G46" s="16" t="str">
        <f aca="false">IF(B46="","",C46*IFERROR(INDEX(Produtos!$D$5:$D$44,MATCH(B46,Produtos!$A$5:$A$44,0)),0))</f>
        <v/>
      </c>
      <c r="H46" s="16" t="str">
        <f aca="false">IF(B46="","",F46*IFERROR(INDEX(Despesas!$B$5:$B$8,MATCH(D46,Despesas!$A$5:$A$8,0)),0))</f>
        <v/>
      </c>
      <c r="I46" s="16" t="str">
        <f aca="false">IF(B46="","",F46-G46-H46)</f>
        <v/>
      </c>
    </row>
    <row r="47" customFormat="false" ht="15" hidden="false" customHeight="false" outlineLevel="0" collapsed="false">
      <c r="A47" s="34"/>
      <c r="B47" s="30"/>
      <c r="C47" s="30"/>
      <c r="D47" s="30"/>
      <c r="E47" s="16" t="str">
        <f aca="false">IF(B47="","",IFERROR(INDEX(Produtos!$C$5:$C$44,MATCH(B47,Produtos!$A$5:$A$44,0)),0))</f>
        <v/>
      </c>
      <c r="F47" s="16" t="str">
        <f aca="false">IF(B47="","",C47*E47)</f>
        <v/>
      </c>
      <c r="G47" s="16" t="str">
        <f aca="false">IF(B47="","",C47*IFERROR(INDEX(Produtos!$D$5:$D$44,MATCH(B47,Produtos!$A$5:$A$44,0)),0))</f>
        <v/>
      </c>
      <c r="H47" s="16" t="str">
        <f aca="false">IF(B47="","",F47*IFERROR(INDEX(Despesas!$B$5:$B$8,MATCH(D47,Despesas!$A$5:$A$8,0)),0))</f>
        <v/>
      </c>
      <c r="I47" s="16" t="str">
        <f aca="false">IF(B47="","",F47-G47-H47)</f>
        <v/>
      </c>
    </row>
    <row r="48" customFormat="false" ht="15" hidden="false" customHeight="false" outlineLevel="0" collapsed="false">
      <c r="A48" s="34"/>
      <c r="B48" s="30"/>
      <c r="C48" s="30"/>
      <c r="D48" s="30"/>
      <c r="E48" s="16" t="str">
        <f aca="false">IF(B48="","",IFERROR(INDEX(Produtos!$C$5:$C$44,MATCH(B48,Produtos!$A$5:$A$44,0)),0))</f>
        <v/>
      </c>
      <c r="F48" s="16" t="str">
        <f aca="false">IF(B48="","",C48*E48)</f>
        <v/>
      </c>
      <c r="G48" s="16" t="str">
        <f aca="false">IF(B48="","",C48*IFERROR(INDEX(Produtos!$D$5:$D$44,MATCH(B48,Produtos!$A$5:$A$44,0)),0))</f>
        <v/>
      </c>
      <c r="H48" s="16" t="str">
        <f aca="false">IF(B48="","",F48*IFERROR(INDEX(Despesas!$B$5:$B$8,MATCH(D48,Despesas!$A$5:$A$8,0)),0))</f>
        <v/>
      </c>
      <c r="I48" s="16" t="str">
        <f aca="false">IF(B48="","",F48-G48-H48)</f>
        <v/>
      </c>
    </row>
    <row r="49" customFormat="false" ht="15" hidden="false" customHeight="false" outlineLevel="0" collapsed="false">
      <c r="A49" s="34"/>
      <c r="B49" s="30"/>
      <c r="C49" s="30"/>
      <c r="D49" s="30"/>
      <c r="E49" s="16" t="str">
        <f aca="false">IF(B49="","",IFERROR(INDEX(Produtos!$C$5:$C$44,MATCH(B49,Produtos!$A$5:$A$44,0)),0))</f>
        <v/>
      </c>
      <c r="F49" s="16" t="str">
        <f aca="false">IF(B49="","",C49*E49)</f>
        <v/>
      </c>
      <c r="G49" s="16" t="str">
        <f aca="false">IF(B49="","",C49*IFERROR(INDEX(Produtos!$D$5:$D$44,MATCH(B49,Produtos!$A$5:$A$44,0)),0))</f>
        <v/>
      </c>
      <c r="H49" s="16" t="str">
        <f aca="false">IF(B49="","",F49*IFERROR(INDEX(Despesas!$B$5:$B$8,MATCH(D49,Despesas!$A$5:$A$8,0)),0))</f>
        <v/>
      </c>
      <c r="I49" s="16" t="str">
        <f aca="false">IF(B49="","",F49-G49-H49)</f>
        <v/>
      </c>
    </row>
    <row r="50" customFormat="false" ht="15" hidden="false" customHeight="false" outlineLevel="0" collapsed="false">
      <c r="A50" s="34"/>
      <c r="B50" s="30"/>
      <c r="C50" s="30"/>
      <c r="D50" s="30"/>
      <c r="E50" s="16" t="str">
        <f aca="false">IF(B50="","",IFERROR(INDEX(Produtos!$C$5:$C$44,MATCH(B50,Produtos!$A$5:$A$44,0)),0))</f>
        <v/>
      </c>
      <c r="F50" s="16" t="str">
        <f aca="false">IF(B50="","",C50*E50)</f>
        <v/>
      </c>
      <c r="G50" s="16" t="str">
        <f aca="false">IF(B50="","",C50*IFERROR(INDEX(Produtos!$D$5:$D$44,MATCH(B50,Produtos!$A$5:$A$44,0)),0))</f>
        <v/>
      </c>
      <c r="H50" s="16" t="str">
        <f aca="false">IF(B50="","",F50*IFERROR(INDEX(Despesas!$B$5:$B$8,MATCH(D50,Despesas!$A$5:$A$8,0)),0))</f>
        <v/>
      </c>
      <c r="I50" s="16" t="str">
        <f aca="false">IF(B50="","",F50-G50-H50)</f>
        <v/>
      </c>
    </row>
    <row r="51" customFormat="false" ht="15" hidden="false" customHeight="false" outlineLevel="0" collapsed="false">
      <c r="A51" s="34"/>
      <c r="B51" s="30"/>
      <c r="C51" s="30"/>
      <c r="D51" s="30"/>
      <c r="E51" s="16" t="str">
        <f aca="false">IF(B51="","",IFERROR(INDEX(Produtos!$C$5:$C$44,MATCH(B51,Produtos!$A$5:$A$44,0)),0))</f>
        <v/>
      </c>
      <c r="F51" s="16" t="str">
        <f aca="false">IF(B51="","",C51*E51)</f>
        <v/>
      </c>
      <c r="G51" s="16" t="str">
        <f aca="false">IF(B51="","",C51*IFERROR(INDEX(Produtos!$D$5:$D$44,MATCH(B51,Produtos!$A$5:$A$44,0)),0))</f>
        <v/>
      </c>
      <c r="H51" s="16" t="str">
        <f aca="false">IF(B51="","",F51*IFERROR(INDEX(Despesas!$B$5:$B$8,MATCH(D51,Despesas!$A$5:$A$8,0)),0))</f>
        <v/>
      </c>
      <c r="I51" s="16" t="str">
        <f aca="false">IF(B51="","",F51-G51-H51)</f>
        <v/>
      </c>
    </row>
    <row r="52" customFormat="false" ht="15" hidden="false" customHeight="false" outlineLevel="0" collapsed="false">
      <c r="A52" s="34"/>
      <c r="B52" s="30"/>
      <c r="C52" s="30"/>
      <c r="D52" s="30"/>
      <c r="E52" s="16" t="str">
        <f aca="false">IF(B52="","",IFERROR(INDEX(Produtos!$C$5:$C$44,MATCH(B52,Produtos!$A$5:$A$44,0)),0))</f>
        <v/>
      </c>
      <c r="F52" s="16" t="str">
        <f aca="false">IF(B52="","",C52*E52)</f>
        <v/>
      </c>
      <c r="G52" s="16" t="str">
        <f aca="false">IF(B52="","",C52*IFERROR(INDEX(Produtos!$D$5:$D$44,MATCH(B52,Produtos!$A$5:$A$44,0)),0))</f>
        <v/>
      </c>
      <c r="H52" s="16" t="str">
        <f aca="false">IF(B52="","",F52*IFERROR(INDEX(Despesas!$B$5:$B$8,MATCH(D52,Despesas!$A$5:$A$8,0)),0))</f>
        <v/>
      </c>
      <c r="I52" s="16" t="str">
        <f aca="false">IF(B52="","",F52-G52-H52)</f>
        <v/>
      </c>
    </row>
    <row r="53" customFormat="false" ht="15" hidden="false" customHeight="false" outlineLevel="0" collapsed="false">
      <c r="A53" s="34"/>
      <c r="B53" s="30"/>
      <c r="C53" s="30"/>
      <c r="D53" s="30"/>
      <c r="E53" s="16" t="str">
        <f aca="false">IF(B53="","",IFERROR(INDEX(Produtos!$C$5:$C$44,MATCH(B53,Produtos!$A$5:$A$44,0)),0))</f>
        <v/>
      </c>
      <c r="F53" s="16" t="str">
        <f aca="false">IF(B53="","",C53*E53)</f>
        <v/>
      </c>
      <c r="G53" s="16" t="str">
        <f aca="false">IF(B53="","",C53*IFERROR(INDEX(Produtos!$D$5:$D$44,MATCH(B53,Produtos!$A$5:$A$44,0)),0))</f>
        <v/>
      </c>
      <c r="H53" s="16" t="str">
        <f aca="false">IF(B53="","",F53*IFERROR(INDEX(Despesas!$B$5:$B$8,MATCH(D53,Despesas!$A$5:$A$8,0)),0))</f>
        <v/>
      </c>
      <c r="I53" s="16" t="str">
        <f aca="false">IF(B53="","",F53-G53-H53)</f>
        <v/>
      </c>
    </row>
    <row r="54" customFormat="false" ht="15" hidden="false" customHeight="false" outlineLevel="0" collapsed="false">
      <c r="A54" s="34"/>
      <c r="B54" s="30"/>
      <c r="C54" s="30"/>
      <c r="D54" s="30"/>
      <c r="E54" s="16" t="str">
        <f aca="false">IF(B54="","",IFERROR(INDEX(Produtos!$C$5:$C$44,MATCH(B54,Produtos!$A$5:$A$44,0)),0))</f>
        <v/>
      </c>
      <c r="F54" s="16" t="str">
        <f aca="false">IF(B54="","",C54*E54)</f>
        <v/>
      </c>
      <c r="G54" s="16" t="str">
        <f aca="false">IF(B54="","",C54*IFERROR(INDEX(Produtos!$D$5:$D$44,MATCH(B54,Produtos!$A$5:$A$44,0)),0))</f>
        <v/>
      </c>
      <c r="H54" s="16" t="str">
        <f aca="false">IF(B54="","",F54*IFERROR(INDEX(Despesas!$B$5:$B$8,MATCH(D54,Despesas!$A$5:$A$8,0)),0))</f>
        <v/>
      </c>
      <c r="I54" s="16" t="str">
        <f aca="false">IF(B54="","",F54-G54-H54)</f>
        <v/>
      </c>
    </row>
    <row r="55" customFormat="false" ht="15" hidden="false" customHeight="false" outlineLevel="0" collapsed="false">
      <c r="A55" s="34"/>
      <c r="B55" s="30"/>
      <c r="C55" s="30"/>
      <c r="D55" s="30"/>
      <c r="E55" s="16" t="str">
        <f aca="false">IF(B55="","",IFERROR(INDEX(Produtos!$C$5:$C$44,MATCH(B55,Produtos!$A$5:$A$44,0)),0))</f>
        <v/>
      </c>
      <c r="F55" s="16" t="str">
        <f aca="false">IF(B55="","",C55*E55)</f>
        <v/>
      </c>
      <c r="G55" s="16" t="str">
        <f aca="false">IF(B55="","",C55*IFERROR(INDEX(Produtos!$D$5:$D$44,MATCH(B55,Produtos!$A$5:$A$44,0)),0))</f>
        <v/>
      </c>
      <c r="H55" s="16" t="str">
        <f aca="false">IF(B55="","",F55*IFERROR(INDEX(Despesas!$B$5:$B$8,MATCH(D55,Despesas!$A$5:$A$8,0)),0))</f>
        <v/>
      </c>
      <c r="I55" s="16" t="str">
        <f aca="false">IF(B55="","",F55-G55-H55)</f>
        <v/>
      </c>
    </row>
    <row r="56" customFormat="false" ht="15" hidden="false" customHeight="false" outlineLevel="0" collapsed="false">
      <c r="A56" s="34"/>
      <c r="B56" s="30"/>
      <c r="C56" s="30"/>
      <c r="D56" s="30"/>
      <c r="E56" s="16" t="str">
        <f aca="false">IF(B56="","",IFERROR(INDEX(Produtos!$C$5:$C$44,MATCH(B56,Produtos!$A$5:$A$44,0)),0))</f>
        <v/>
      </c>
      <c r="F56" s="16" t="str">
        <f aca="false">IF(B56="","",C56*E56)</f>
        <v/>
      </c>
      <c r="G56" s="16" t="str">
        <f aca="false">IF(B56="","",C56*IFERROR(INDEX(Produtos!$D$5:$D$44,MATCH(B56,Produtos!$A$5:$A$44,0)),0))</f>
        <v/>
      </c>
      <c r="H56" s="16" t="str">
        <f aca="false">IF(B56="","",F56*IFERROR(INDEX(Despesas!$B$5:$B$8,MATCH(D56,Despesas!$A$5:$A$8,0)),0))</f>
        <v/>
      </c>
      <c r="I56" s="16" t="str">
        <f aca="false">IF(B56="","",F56-G56-H56)</f>
        <v/>
      </c>
    </row>
    <row r="57" customFormat="false" ht="15" hidden="false" customHeight="false" outlineLevel="0" collapsed="false">
      <c r="A57" s="34"/>
      <c r="B57" s="30"/>
      <c r="C57" s="30"/>
      <c r="D57" s="30"/>
      <c r="E57" s="16" t="str">
        <f aca="false">IF(B57="","",IFERROR(INDEX(Produtos!$C$5:$C$44,MATCH(B57,Produtos!$A$5:$A$44,0)),0))</f>
        <v/>
      </c>
      <c r="F57" s="16" t="str">
        <f aca="false">IF(B57="","",C57*E57)</f>
        <v/>
      </c>
      <c r="G57" s="16" t="str">
        <f aca="false">IF(B57="","",C57*IFERROR(INDEX(Produtos!$D$5:$D$44,MATCH(B57,Produtos!$A$5:$A$44,0)),0))</f>
        <v/>
      </c>
      <c r="H57" s="16" t="str">
        <f aca="false">IF(B57="","",F57*IFERROR(INDEX(Despesas!$B$5:$B$8,MATCH(D57,Despesas!$A$5:$A$8,0)),0))</f>
        <v/>
      </c>
      <c r="I57" s="16" t="str">
        <f aca="false">IF(B57="","",F57-G57-H57)</f>
        <v/>
      </c>
    </row>
    <row r="58" customFormat="false" ht="15" hidden="false" customHeight="false" outlineLevel="0" collapsed="false">
      <c r="A58" s="34"/>
      <c r="B58" s="30"/>
      <c r="C58" s="30"/>
      <c r="D58" s="30"/>
      <c r="E58" s="16" t="str">
        <f aca="false">IF(B58="","",IFERROR(INDEX(Produtos!$C$5:$C$44,MATCH(B58,Produtos!$A$5:$A$44,0)),0))</f>
        <v/>
      </c>
      <c r="F58" s="16" t="str">
        <f aca="false">IF(B58="","",C58*E58)</f>
        <v/>
      </c>
      <c r="G58" s="16" t="str">
        <f aca="false">IF(B58="","",C58*IFERROR(INDEX(Produtos!$D$5:$D$44,MATCH(B58,Produtos!$A$5:$A$44,0)),0))</f>
        <v/>
      </c>
      <c r="H58" s="16" t="str">
        <f aca="false">IF(B58="","",F58*IFERROR(INDEX(Despesas!$B$5:$B$8,MATCH(D58,Despesas!$A$5:$A$8,0)),0))</f>
        <v/>
      </c>
      <c r="I58" s="16" t="str">
        <f aca="false">IF(B58="","",F58-G58-H58)</f>
        <v/>
      </c>
    </row>
    <row r="59" customFormat="false" ht="15" hidden="false" customHeight="false" outlineLevel="0" collapsed="false">
      <c r="A59" s="34"/>
      <c r="B59" s="30"/>
      <c r="C59" s="30"/>
      <c r="D59" s="30"/>
      <c r="E59" s="16" t="str">
        <f aca="false">IF(B59="","",IFERROR(INDEX(Produtos!$C$5:$C$44,MATCH(B59,Produtos!$A$5:$A$44,0)),0))</f>
        <v/>
      </c>
      <c r="F59" s="16" t="str">
        <f aca="false">IF(B59="","",C59*E59)</f>
        <v/>
      </c>
      <c r="G59" s="16" t="str">
        <f aca="false">IF(B59="","",C59*IFERROR(INDEX(Produtos!$D$5:$D$44,MATCH(B59,Produtos!$A$5:$A$44,0)),0))</f>
        <v/>
      </c>
      <c r="H59" s="16" t="str">
        <f aca="false">IF(B59="","",F59*IFERROR(INDEX(Despesas!$B$5:$B$8,MATCH(D59,Despesas!$A$5:$A$8,0)),0))</f>
        <v/>
      </c>
      <c r="I59" s="16" t="str">
        <f aca="false">IF(B59="","",F59-G59-H59)</f>
        <v/>
      </c>
    </row>
    <row r="60" customFormat="false" ht="15" hidden="false" customHeight="false" outlineLevel="0" collapsed="false">
      <c r="A60" s="34"/>
      <c r="B60" s="30"/>
      <c r="C60" s="30"/>
      <c r="D60" s="30"/>
      <c r="E60" s="16" t="str">
        <f aca="false">IF(B60="","",IFERROR(INDEX(Produtos!$C$5:$C$44,MATCH(B60,Produtos!$A$5:$A$44,0)),0))</f>
        <v/>
      </c>
      <c r="F60" s="16" t="str">
        <f aca="false">IF(B60="","",C60*E60)</f>
        <v/>
      </c>
      <c r="G60" s="16" t="str">
        <f aca="false">IF(B60="","",C60*IFERROR(INDEX(Produtos!$D$5:$D$44,MATCH(B60,Produtos!$A$5:$A$44,0)),0))</f>
        <v/>
      </c>
      <c r="H60" s="16" t="str">
        <f aca="false">IF(B60="","",F60*IFERROR(INDEX(Despesas!$B$5:$B$8,MATCH(D60,Despesas!$A$5:$A$8,0)),0))</f>
        <v/>
      </c>
      <c r="I60" s="16" t="str">
        <f aca="false">IF(B60="","",F60-G60-H60)</f>
        <v/>
      </c>
    </row>
    <row r="61" customFormat="false" ht="15" hidden="false" customHeight="false" outlineLevel="0" collapsed="false">
      <c r="A61" s="34"/>
      <c r="B61" s="30"/>
      <c r="C61" s="30"/>
      <c r="D61" s="30"/>
      <c r="E61" s="16" t="str">
        <f aca="false">IF(B61="","",IFERROR(INDEX(Produtos!$C$5:$C$44,MATCH(B61,Produtos!$A$5:$A$44,0)),0))</f>
        <v/>
      </c>
      <c r="F61" s="16" t="str">
        <f aca="false">IF(B61="","",C61*E61)</f>
        <v/>
      </c>
      <c r="G61" s="16" t="str">
        <f aca="false">IF(B61="","",C61*IFERROR(INDEX(Produtos!$D$5:$D$44,MATCH(B61,Produtos!$A$5:$A$44,0)),0))</f>
        <v/>
      </c>
      <c r="H61" s="16" t="str">
        <f aca="false">IF(B61="","",F61*IFERROR(INDEX(Despesas!$B$5:$B$8,MATCH(D61,Despesas!$A$5:$A$8,0)),0))</f>
        <v/>
      </c>
      <c r="I61" s="16" t="str">
        <f aca="false">IF(B61="","",F61-G61-H61)</f>
        <v/>
      </c>
    </row>
    <row r="62" customFormat="false" ht="15" hidden="false" customHeight="false" outlineLevel="0" collapsed="false">
      <c r="A62" s="34"/>
      <c r="B62" s="30"/>
      <c r="C62" s="30"/>
      <c r="D62" s="30"/>
      <c r="E62" s="16" t="str">
        <f aca="false">IF(B62="","",IFERROR(INDEX(Produtos!$C$5:$C$44,MATCH(B62,Produtos!$A$5:$A$44,0)),0))</f>
        <v/>
      </c>
      <c r="F62" s="16" t="str">
        <f aca="false">IF(B62="","",C62*E62)</f>
        <v/>
      </c>
      <c r="G62" s="16" t="str">
        <f aca="false">IF(B62="","",C62*IFERROR(INDEX(Produtos!$D$5:$D$44,MATCH(B62,Produtos!$A$5:$A$44,0)),0))</f>
        <v/>
      </c>
      <c r="H62" s="16" t="str">
        <f aca="false">IF(B62="","",F62*IFERROR(INDEX(Despesas!$B$5:$B$8,MATCH(D62,Despesas!$A$5:$A$8,0)),0))</f>
        <v/>
      </c>
      <c r="I62" s="16" t="str">
        <f aca="false">IF(B62="","",F62-G62-H62)</f>
        <v/>
      </c>
    </row>
    <row r="63" customFormat="false" ht="15" hidden="false" customHeight="false" outlineLevel="0" collapsed="false">
      <c r="A63" s="34"/>
      <c r="B63" s="30"/>
      <c r="C63" s="30"/>
      <c r="D63" s="30"/>
      <c r="E63" s="16" t="str">
        <f aca="false">IF(B63="","",IFERROR(INDEX(Produtos!$C$5:$C$44,MATCH(B63,Produtos!$A$5:$A$44,0)),0))</f>
        <v/>
      </c>
      <c r="F63" s="16" t="str">
        <f aca="false">IF(B63="","",C63*E63)</f>
        <v/>
      </c>
      <c r="G63" s="16" t="str">
        <f aca="false">IF(B63="","",C63*IFERROR(INDEX(Produtos!$D$5:$D$44,MATCH(B63,Produtos!$A$5:$A$44,0)),0))</f>
        <v/>
      </c>
      <c r="H63" s="16" t="str">
        <f aca="false">IF(B63="","",F63*IFERROR(INDEX(Despesas!$B$5:$B$8,MATCH(D63,Despesas!$A$5:$A$8,0)),0))</f>
        <v/>
      </c>
      <c r="I63" s="16" t="str">
        <f aca="false">IF(B63="","",F63-G63-H63)</f>
        <v/>
      </c>
    </row>
    <row r="64" customFormat="false" ht="15" hidden="false" customHeight="false" outlineLevel="0" collapsed="false">
      <c r="A64" s="34"/>
      <c r="B64" s="30"/>
      <c r="C64" s="30"/>
      <c r="D64" s="30"/>
      <c r="E64" s="16" t="str">
        <f aca="false">IF(B64="","",IFERROR(INDEX(Produtos!$C$5:$C$44,MATCH(B64,Produtos!$A$5:$A$44,0)),0))</f>
        <v/>
      </c>
      <c r="F64" s="16" t="str">
        <f aca="false">IF(B64="","",C64*E64)</f>
        <v/>
      </c>
      <c r="G64" s="16" t="str">
        <f aca="false">IF(B64="","",C64*IFERROR(INDEX(Produtos!$D$5:$D$44,MATCH(B64,Produtos!$A$5:$A$44,0)),0))</f>
        <v/>
      </c>
      <c r="H64" s="16" t="str">
        <f aca="false">IF(B64="","",F64*IFERROR(INDEX(Despesas!$B$5:$B$8,MATCH(D64,Despesas!$A$5:$A$8,0)),0))</f>
        <v/>
      </c>
      <c r="I64" s="16" t="str">
        <f aca="false">IF(B64="","",F64-G64-H64)</f>
        <v/>
      </c>
    </row>
    <row r="65" customFormat="false" ht="15" hidden="false" customHeight="false" outlineLevel="0" collapsed="false">
      <c r="A65" s="34"/>
      <c r="B65" s="30"/>
      <c r="C65" s="30"/>
      <c r="D65" s="30"/>
      <c r="E65" s="16" t="str">
        <f aca="false">IF(B65="","",IFERROR(INDEX(Produtos!$C$5:$C$44,MATCH(B65,Produtos!$A$5:$A$44,0)),0))</f>
        <v/>
      </c>
      <c r="F65" s="16" t="str">
        <f aca="false">IF(B65="","",C65*E65)</f>
        <v/>
      </c>
      <c r="G65" s="16" t="str">
        <f aca="false">IF(B65="","",C65*IFERROR(INDEX(Produtos!$D$5:$D$44,MATCH(B65,Produtos!$A$5:$A$44,0)),0))</f>
        <v/>
      </c>
      <c r="H65" s="16" t="str">
        <f aca="false">IF(B65="","",F65*IFERROR(INDEX(Despesas!$B$5:$B$8,MATCH(D65,Despesas!$A$5:$A$8,0)),0))</f>
        <v/>
      </c>
      <c r="I65" s="16" t="str">
        <f aca="false">IF(B65="","",F65-G65-H65)</f>
        <v/>
      </c>
    </row>
    <row r="66" customFormat="false" ht="15" hidden="false" customHeight="false" outlineLevel="0" collapsed="false">
      <c r="A66" s="34"/>
      <c r="B66" s="30"/>
      <c r="C66" s="30"/>
      <c r="D66" s="30"/>
      <c r="E66" s="16" t="str">
        <f aca="false">IF(B66="","",IFERROR(INDEX(Produtos!$C$5:$C$44,MATCH(B66,Produtos!$A$5:$A$44,0)),0))</f>
        <v/>
      </c>
      <c r="F66" s="16" t="str">
        <f aca="false">IF(B66="","",C66*E66)</f>
        <v/>
      </c>
      <c r="G66" s="16" t="str">
        <f aca="false">IF(B66="","",C66*IFERROR(INDEX(Produtos!$D$5:$D$44,MATCH(B66,Produtos!$A$5:$A$44,0)),0))</f>
        <v/>
      </c>
      <c r="H66" s="16" t="str">
        <f aca="false">IF(B66="","",F66*IFERROR(INDEX(Despesas!$B$5:$B$8,MATCH(D66,Despesas!$A$5:$A$8,0)),0))</f>
        <v/>
      </c>
      <c r="I66" s="16" t="str">
        <f aca="false">IF(B66="","",F66-G66-H66)</f>
        <v/>
      </c>
    </row>
    <row r="67" customFormat="false" ht="15" hidden="false" customHeight="false" outlineLevel="0" collapsed="false">
      <c r="A67" s="34"/>
      <c r="B67" s="30"/>
      <c r="C67" s="30"/>
      <c r="D67" s="30"/>
      <c r="E67" s="16" t="str">
        <f aca="false">IF(B67="","",IFERROR(INDEX(Produtos!$C$5:$C$44,MATCH(B67,Produtos!$A$5:$A$44,0)),0))</f>
        <v/>
      </c>
      <c r="F67" s="16" t="str">
        <f aca="false">IF(B67="","",C67*E67)</f>
        <v/>
      </c>
      <c r="G67" s="16" t="str">
        <f aca="false">IF(B67="","",C67*IFERROR(INDEX(Produtos!$D$5:$D$44,MATCH(B67,Produtos!$A$5:$A$44,0)),0))</f>
        <v/>
      </c>
      <c r="H67" s="16" t="str">
        <f aca="false">IF(B67="","",F67*IFERROR(INDEX(Despesas!$B$5:$B$8,MATCH(D67,Despesas!$A$5:$A$8,0)),0))</f>
        <v/>
      </c>
      <c r="I67" s="16" t="str">
        <f aca="false">IF(B67="","",F67-G67-H67)</f>
        <v/>
      </c>
    </row>
    <row r="68" customFormat="false" ht="15" hidden="false" customHeight="false" outlineLevel="0" collapsed="false">
      <c r="A68" s="34"/>
      <c r="B68" s="30"/>
      <c r="C68" s="30"/>
      <c r="D68" s="30"/>
      <c r="E68" s="16" t="str">
        <f aca="false">IF(B68="","",IFERROR(INDEX(Produtos!$C$5:$C$44,MATCH(B68,Produtos!$A$5:$A$44,0)),0))</f>
        <v/>
      </c>
      <c r="F68" s="16" t="str">
        <f aca="false">IF(B68="","",C68*E68)</f>
        <v/>
      </c>
      <c r="G68" s="16" t="str">
        <f aca="false">IF(B68="","",C68*IFERROR(INDEX(Produtos!$D$5:$D$44,MATCH(B68,Produtos!$A$5:$A$44,0)),0))</f>
        <v/>
      </c>
      <c r="H68" s="16" t="str">
        <f aca="false">IF(B68="","",F68*IFERROR(INDEX(Despesas!$B$5:$B$8,MATCH(D68,Despesas!$A$5:$A$8,0)),0))</f>
        <v/>
      </c>
      <c r="I68" s="16" t="str">
        <f aca="false">IF(B68="","",F68-G68-H68)</f>
        <v/>
      </c>
    </row>
    <row r="69" customFormat="false" ht="15" hidden="false" customHeight="false" outlineLevel="0" collapsed="false">
      <c r="A69" s="34"/>
      <c r="B69" s="30"/>
      <c r="C69" s="30"/>
      <c r="D69" s="30"/>
      <c r="E69" s="16" t="str">
        <f aca="false">IF(B69="","",IFERROR(INDEX(Produtos!$C$5:$C$44,MATCH(B69,Produtos!$A$5:$A$44,0)),0))</f>
        <v/>
      </c>
      <c r="F69" s="16" t="str">
        <f aca="false">IF(B69="","",C69*E69)</f>
        <v/>
      </c>
      <c r="G69" s="16" t="str">
        <f aca="false">IF(B69="","",C69*IFERROR(INDEX(Produtos!$D$5:$D$44,MATCH(B69,Produtos!$A$5:$A$44,0)),0))</f>
        <v/>
      </c>
      <c r="H69" s="16" t="str">
        <f aca="false">IF(B69="","",F69*IFERROR(INDEX(Despesas!$B$5:$B$8,MATCH(D69,Despesas!$A$5:$A$8,0)),0))</f>
        <v/>
      </c>
      <c r="I69" s="16" t="str">
        <f aca="false">IF(B69="","",F69-G69-H69)</f>
        <v/>
      </c>
    </row>
    <row r="70" customFormat="false" ht="15" hidden="false" customHeight="false" outlineLevel="0" collapsed="false">
      <c r="A70" s="34"/>
      <c r="B70" s="30"/>
      <c r="C70" s="30"/>
      <c r="D70" s="30"/>
      <c r="E70" s="16" t="str">
        <f aca="false">IF(B70="","",IFERROR(INDEX(Produtos!$C$5:$C$44,MATCH(B70,Produtos!$A$5:$A$44,0)),0))</f>
        <v/>
      </c>
      <c r="F70" s="16" t="str">
        <f aca="false">IF(B70="","",C70*E70)</f>
        <v/>
      </c>
      <c r="G70" s="16" t="str">
        <f aca="false">IF(B70="","",C70*IFERROR(INDEX(Produtos!$D$5:$D$44,MATCH(B70,Produtos!$A$5:$A$44,0)),0))</f>
        <v/>
      </c>
      <c r="H70" s="16" t="str">
        <f aca="false">IF(B70="","",F70*IFERROR(INDEX(Despesas!$B$5:$B$8,MATCH(D70,Despesas!$A$5:$A$8,0)),0))</f>
        <v/>
      </c>
      <c r="I70" s="16" t="str">
        <f aca="false">IF(B70="","",F70-G70-H70)</f>
        <v/>
      </c>
    </row>
    <row r="71" customFormat="false" ht="15" hidden="false" customHeight="false" outlineLevel="0" collapsed="false">
      <c r="A71" s="34"/>
      <c r="B71" s="30"/>
      <c r="C71" s="30"/>
      <c r="D71" s="30"/>
      <c r="E71" s="16" t="str">
        <f aca="false">IF(B71="","",IFERROR(INDEX(Produtos!$C$5:$C$44,MATCH(B71,Produtos!$A$5:$A$44,0)),0))</f>
        <v/>
      </c>
      <c r="F71" s="16" t="str">
        <f aca="false">IF(B71="","",C71*E71)</f>
        <v/>
      </c>
      <c r="G71" s="16" t="str">
        <f aca="false">IF(B71="","",C71*IFERROR(INDEX(Produtos!$D$5:$D$44,MATCH(B71,Produtos!$A$5:$A$44,0)),0))</f>
        <v/>
      </c>
      <c r="H71" s="16" t="str">
        <f aca="false">IF(B71="","",F71*IFERROR(INDEX(Despesas!$B$5:$B$8,MATCH(D71,Despesas!$A$5:$A$8,0)),0))</f>
        <v/>
      </c>
      <c r="I71" s="16" t="str">
        <f aca="false">IF(B71="","",F71-G71-H71)</f>
        <v/>
      </c>
    </row>
    <row r="72" customFormat="false" ht="15" hidden="false" customHeight="false" outlineLevel="0" collapsed="false">
      <c r="A72" s="34"/>
      <c r="B72" s="30"/>
      <c r="C72" s="30"/>
      <c r="D72" s="30"/>
      <c r="E72" s="16" t="str">
        <f aca="false">IF(B72="","",IFERROR(INDEX(Produtos!$C$5:$C$44,MATCH(B72,Produtos!$A$5:$A$44,0)),0))</f>
        <v/>
      </c>
      <c r="F72" s="16" t="str">
        <f aca="false">IF(B72="","",C72*E72)</f>
        <v/>
      </c>
      <c r="G72" s="16" t="str">
        <f aca="false">IF(B72="","",C72*IFERROR(INDEX(Produtos!$D$5:$D$44,MATCH(B72,Produtos!$A$5:$A$44,0)),0))</f>
        <v/>
      </c>
      <c r="H72" s="16" t="str">
        <f aca="false">IF(B72="","",F72*IFERROR(INDEX(Despesas!$B$5:$B$8,MATCH(D72,Despesas!$A$5:$A$8,0)),0))</f>
        <v/>
      </c>
      <c r="I72" s="16" t="str">
        <f aca="false">IF(B72="","",F72-G72-H72)</f>
        <v/>
      </c>
    </row>
    <row r="73" customFormat="false" ht="15" hidden="false" customHeight="false" outlineLevel="0" collapsed="false">
      <c r="A73" s="34"/>
      <c r="B73" s="30"/>
      <c r="C73" s="30"/>
      <c r="D73" s="30"/>
      <c r="E73" s="16" t="str">
        <f aca="false">IF(B73="","",IFERROR(INDEX(Produtos!$C$5:$C$44,MATCH(B73,Produtos!$A$5:$A$44,0)),0))</f>
        <v/>
      </c>
      <c r="F73" s="16" t="str">
        <f aca="false">IF(B73="","",C73*E73)</f>
        <v/>
      </c>
      <c r="G73" s="16" t="str">
        <f aca="false">IF(B73="","",C73*IFERROR(INDEX(Produtos!$D$5:$D$44,MATCH(B73,Produtos!$A$5:$A$44,0)),0))</f>
        <v/>
      </c>
      <c r="H73" s="16" t="str">
        <f aca="false">IF(B73="","",F73*IFERROR(INDEX(Despesas!$B$5:$B$8,MATCH(D73,Despesas!$A$5:$A$8,0)),0))</f>
        <v/>
      </c>
      <c r="I73" s="16" t="str">
        <f aca="false">IF(B73="","",F73-G73-H73)</f>
        <v/>
      </c>
    </row>
    <row r="74" customFormat="false" ht="15" hidden="false" customHeight="false" outlineLevel="0" collapsed="false">
      <c r="A74" s="34"/>
      <c r="B74" s="30"/>
      <c r="C74" s="30"/>
      <c r="D74" s="30"/>
      <c r="E74" s="16" t="str">
        <f aca="false">IF(B74="","",IFERROR(INDEX(Produtos!$C$5:$C$44,MATCH(B74,Produtos!$A$5:$A$44,0)),0))</f>
        <v/>
      </c>
      <c r="F74" s="16" t="str">
        <f aca="false">IF(B74="","",C74*E74)</f>
        <v/>
      </c>
      <c r="G74" s="16" t="str">
        <f aca="false">IF(B74="","",C74*IFERROR(INDEX(Produtos!$D$5:$D$44,MATCH(B74,Produtos!$A$5:$A$44,0)),0))</f>
        <v/>
      </c>
      <c r="H74" s="16" t="str">
        <f aca="false">IF(B74="","",F74*IFERROR(INDEX(Despesas!$B$5:$B$8,MATCH(D74,Despesas!$A$5:$A$8,0)),0))</f>
        <v/>
      </c>
      <c r="I74" s="16" t="str">
        <f aca="false">IF(B74="","",F74-G74-H74)</f>
        <v/>
      </c>
    </row>
    <row r="75" customFormat="false" ht="15" hidden="false" customHeight="false" outlineLevel="0" collapsed="false">
      <c r="A75" s="34"/>
      <c r="B75" s="30"/>
      <c r="C75" s="30"/>
      <c r="D75" s="30"/>
      <c r="E75" s="16" t="str">
        <f aca="false">IF(B75="","",IFERROR(INDEX(Produtos!$C$5:$C$44,MATCH(B75,Produtos!$A$5:$A$44,0)),0))</f>
        <v/>
      </c>
      <c r="F75" s="16" t="str">
        <f aca="false">IF(B75="","",C75*E75)</f>
        <v/>
      </c>
      <c r="G75" s="16" t="str">
        <f aca="false">IF(B75="","",C75*IFERROR(INDEX(Produtos!$D$5:$D$44,MATCH(B75,Produtos!$A$5:$A$44,0)),0))</f>
        <v/>
      </c>
      <c r="H75" s="16" t="str">
        <f aca="false">IF(B75="","",F75*IFERROR(INDEX(Despesas!$B$5:$B$8,MATCH(D75,Despesas!$A$5:$A$8,0)),0))</f>
        <v/>
      </c>
      <c r="I75" s="16" t="str">
        <f aca="false">IF(B75="","",F75-G75-H75)</f>
        <v/>
      </c>
    </row>
    <row r="76" customFormat="false" ht="15" hidden="false" customHeight="false" outlineLevel="0" collapsed="false">
      <c r="A76" s="34"/>
      <c r="B76" s="30"/>
      <c r="C76" s="30"/>
      <c r="D76" s="30"/>
      <c r="E76" s="16" t="str">
        <f aca="false">IF(B76="","",IFERROR(INDEX(Produtos!$C$5:$C$44,MATCH(B76,Produtos!$A$5:$A$44,0)),0))</f>
        <v/>
      </c>
      <c r="F76" s="16" t="str">
        <f aca="false">IF(B76="","",C76*E76)</f>
        <v/>
      </c>
      <c r="G76" s="16" t="str">
        <f aca="false">IF(B76="","",C76*IFERROR(INDEX(Produtos!$D$5:$D$44,MATCH(B76,Produtos!$A$5:$A$44,0)),0))</f>
        <v/>
      </c>
      <c r="H76" s="16" t="str">
        <f aca="false">IF(B76="","",F76*IFERROR(INDEX(Despesas!$B$5:$B$8,MATCH(D76,Despesas!$A$5:$A$8,0)),0))</f>
        <v/>
      </c>
      <c r="I76" s="16" t="str">
        <f aca="false">IF(B76="","",F76-G76-H76)</f>
        <v/>
      </c>
    </row>
    <row r="77" customFormat="false" ht="15" hidden="false" customHeight="false" outlineLevel="0" collapsed="false">
      <c r="A77" s="34"/>
      <c r="B77" s="30"/>
      <c r="C77" s="30"/>
      <c r="D77" s="30"/>
      <c r="E77" s="16" t="str">
        <f aca="false">IF(B77="","",IFERROR(INDEX(Produtos!$C$5:$C$44,MATCH(B77,Produtos!$A$5:$A$44,0)),0))</f>
        <v/>
      </c>
      <c r="F77" s="16" t="str">
        <f aca="false">IF(B77="","",C77*E77)</f>
        <v/>
      </c>
      <c r="G77" s="16" t="str">
        <f aca="false">IF(B77="","",C77*IFERROR(INDEX(Produtos!$D$5:$D$44,MATCH(B77,Produtos!$A$5:$A$44,0)),0))</f>
        <v/>
      </c>
      <c r="H77" s="16" t="str">
        <f aca="false">IF(B77="","",F77*IFERROR(INDEX(Despesas!$B$5:$B$8,MATCH(D77,Despesas!$A$5:$A$8,0)),0))</f>
        <v/>
      </c>
      <c r="I77" s="16" t="str">
        <f aca="false">IF(B77="","",F77-G77-H77)</f>
        <v/>
      </c>
    </row>
    <row r="78" customFormat="false" ht="15" hidden="false" customHeight="false" outlineLevel="0" collapsed="false">
      <c r="A78" s="34"/>
      <c r="B78" s="30"/>
      <c r="C78" s="30"/>
      <c r="D78" s="30"/>
      <c r="E78" s="16" t="str">
        <f aca="false">IF(B78="","",IFERROR(INDEX(Produtos!$C$5:$C$44,MATCH(B78,Produtos!$A$5:$A$44,0)),0))</f>
        <v/>
      </c>
      <c r="F78" s="16" t="str">
        <f aca="false">IF(B78="","",C78*E78)</f>
        <v/>
      </c>
      <c r="G78" s="16" t="str">
        <f aca="false">IF(B78="","",C78*IFERROR(INDEX(Produtos!$D$5:$D$44,MATCH(B78,Produtos!$A$5:$A$44,0)),0))</f>
        <v/>
      </c>
      <c r="H78" s="16" t="str">
        <f aca="false">IF(B78="","",F78*IFERROR(INDEX(Despesas!$B$5:$B$8,MATCH(D78,Despesas!$A$5:$A$8,0)),0))</f>
        <v/>
      </c>
      <c r="I78" s="16" t="str">
        <f aca="false">IF(B78="","",F78-G78-H78)</f>
        <v/>
      </c>
    </row>
    <row r="79" customFormat="false" ht="15" hidden="false" customHeight="false" outlineLevel="0" collapsed="false">
      <c r="A79" s="34"/>
      <c r="B79" s="30"/>
      <c r="C79" s="30"/>
      <c r="D79" s="30"/>
      <c r="E79" s="16" t="str">
        <f aca="false">IF(B79="","",IFERROR(INDEX(Produtos!$C$5:$C$44,MATCH(B79,Produtos!$A$5:$A$44,0)),0))</f>
        <v/>
      </c>
      <c r="F79" s="16" t="str">
        <f aca="false">IF(B79="","",C79*E79)</f>
        <v/>
      </c>
      <c r="G79" s="16" t="str">
        <f aca="false">IF(B79="","",C79*IFERROR(INDEX(Produtos!$D$5:$D$44,MATCH(B79,Produtos!$A$5:$A$44,0)),0))</f>
        <v/>
      </c>
      <c r="H79" s="16" t="str">
        <f aca="false">IF(B79="","",F79*IFERROR(INDEX(Despesas!$B$5:$B$8,MATCH(D79,Despesas!$A$5:$A$8,0)),0))</f>
        <v/>
      </c>
      <c r="I79" s="16" t="str">
        <f aca="false">IF(B79="","",F79-G79-H79)</f>
        <v/>
      </c>
    </row>
    <row r="80" customFormat="false" ht="15" hidden="false" customHeight="false" outlineLevel="0" collapsed="false">
      <c r="A80" s="34"/>
      <c r="B80" s="30"/>
      <c r="C80" s="30"/>
      <c r="D80" s="30"/>
      <c r="E80" s="16" t="str">
        <f aca="false">IF(B80="","",IFERROR(INDEX(Produtos!$C$5:$C$44,MATCH(B80,Produtos!$A$5:$A$44,0)),0))</f>
        <v/>
      </c>
      <c r="F80" s="16" t="str">
        <f aca="false">IF(B80="","",C80*E80)</f>
        <v/>
      </c>
      <c r="G80" s="16" t="str">
        <f aca="false">IF(B80="","",C80*IFERROR(INDEX(Produtos!$D$5:$D$44,MATCH(B80,Produtos!$A$5:$A$44,0)),0))</f>
        <v/>
      </c>
      <c r="H80" s="16" t="str">
        <f aca="false">IF(B80="","",F80*IFERROR(INDEX(Despesas!$B$5:$B$8,MATCH(D80,Despesas!$A$5:$A$8,0)),0))</f>
        <v/>
      </c>
      <c r="I80" s="16" t="str">
        <f aca="false">IF(B80="","",F80-G80-H80)</f>
        <v/>
      </c>
    </row>
    <row r="81" customFormat="false" ht="15" hidden="false" customHeight="false" outlineLevel="0" collapsed="false">
      <c r="A81" s="34"/>
      <c r="B81" s="30"/>
      <c r="C81" s="30"/>
      <c r="D81" s="30"/>
      <c r="E81" s="16" t="str">
        <f aca="false">IF(B81="","",IFERROR(INDEX(Produtos!$C$5:$C$44,MATCH(B81,Produtos!$A$5:$A$44,0)),0))</f>
        <v/>
      </c>
      <c r="F81" s="16" t="str">
        <f aca="false">IF(B81="","",C81*E81)</f>
        <v/>
      </c>
      <c r="G81" s="16" t="str">
        <f aca="false">IF(B81="","",C81*IFERROR(INDEX(Produtos!$D$5:$D$44,MATCH(B81,Produtos!$A$5:$A$44,0)),0))</f>
        <v/>
      </c>
      <c r="H81" s="16" t="str">
        <f aca="false">IF(B81="","",F81*IFERROR(INDEX(Despesas!$B$5:$B$8,MATCH(D81,Despesas!$A$5:$A$8,0)),0))</f>
        <v/>
      </c>
      <c r="I81" s="16" t="str">
        <f aca="false">IF(B81="","",F81-G81-H81)</f>
        <v/>
      </c>
    </row>
    <row r="82" customFormat="false" ht="15" hidden="false" customHeight="false" outlineLevel="0" collapsed="false">
      <c r="A82" s="34"/>
      <c r="B82" s="30"/>
      <c r="C82" s="30"/>
      <c r="D82" s="30"/>
      <c r="E82" s="16" t="str">
        <f aca="false">IF(B82="","",IFERROR(INDEX(Produtos!$C$5:$C$44,MATCH(B82,Produtos!$A$5:$A$44,0)),0))</f>
        <v/>
      </c>
      <c r="F82" s="16" t="str">
        <f aca="false">IF(B82="","",C82*E82)</f>
        <v/>
      </c>
      <c r="G82" s="16" t="str">
        <f aca="false">IF(B82="","",C82*IFERROR(INDEX(Produtos!$D$5:$D$44,MATCH(B82,Produtos!$A$5:$A$44,0)),0))</f>
        <v/>
      </c>
      <c r="H82" s="16" t="str">
        <f aca="false">IF(B82="","",F82*IFERROR(INDEX(Despesas!$B$5:$B$8,MATCH(D82,Despesas!$A$5:$A$8,0)),0))</f>
        <v/>
      </c>
      <c r="I82" s="16" t="str">
        <f aca="false">IF(B82="","",F82-G82-H82)</f>
        <v/>
      </c>
    </row>
    <row r="83" customFormat="false" ht="15" hidden="false" customHeight="false" outlineLevel="0" collapsed="false">
      <c r="A83" s="34"/>
      <c r="B83" s="30"/>
      <c r="C83" s="30"/>
      <c r="D83" s="30"/>
      <c r="E83" s="16" t="str">
        <f aca="false">IF(B83="","",IFERROR(INDEX(Produtos!$C$5:$C$44,MATCH(B83,Produtos!$A$5:$A$44,0)),0))</f>
        <v/>
      </c>
      <c r="F83" s="16" t="str">
        <f aca="false">IF(B83="","",C83*E83)</f>
        <v/>
      </c>
      <c r="G83" s="16" t="str">
        <f aca="false">IF(B83="","",C83*IFERROR(INDEX(Produtos!$D$5:$D$44,MATCH(B83,Produtos!$A$5:$A$44,0)),0))</f>
        <v/>
      </c>
      <c r="H83" s="16" t="str">
        <f aca="false">IF(B83="","",F83*IFERROR(INDEX(Despesas!$B$5:$B$8,MATCH(D83,Despesas!$A$5:$A$8,0)),0))</f>
        <v/>
      </c>
      <c r="I83" s="16" t="str">
        <f aca="false">IF(B83="","",F83-G83-H83)</f>
        <v/>
      </c>
    </row>
    <row r="84" customFormat="false" ht="15" hidden="false" customHeight="false" outlineLevel="0" collapsed="false">
      <c r="A84" s="34"/>
      <c r="B84" s="30"/>
      <c r="C84" s="30"/>
      <c r="D84" s="30"/>
      <c r="E84" s="16" t="str">
        <f aca="false">IF(B84="","",IFERROR(INDEX(Produtos!$C$5:$C$44,MATCH(B84,Produtos!$A$5:$A$44,0)),0))</f>
        <v/>
      </c>
      <c r="F84" s="16" t="str">
        <f aca="false">IF(B84="","",C84*E84)</f>
        <v/>
      </c>
      <c r="G84" s="16" t="str">
        <f aca="false">IF(B84="","",C84*IFERROR(INDEX(Produtos!$D$5:$D$44,MATCH(B84,Produtos!$A$5:$A$44,0)),0))</f>
        <v/>
      </c>
      <c r="H84" s="16" t="str">
        <f aca="false">IF(B84="","",F84*IFERROR(INDEX(Despesas!$B$5:$B$8,MATCH(D84,Despesas!$A$5:$A$8,0)),0))</f>
        <v/>
      </c>
      <c r="I84" s="16" t="str">
        <f aca="false">IF(B84="","",F84-G84-H84)</f>
        <v/>
      </c>
    </row>
    <row r="85" customFormat="false" ht="15" hidden="false" customHeight="false" outlineLevel="0" collapsed="false">
      <c r="A85" s="34"/>
      <c r="B85" s="30"/>
      <c r="C85" s="30"/>
      <c r="D85" s="30"/>
      <c r="E85" s="16" t="str">
        <f aca="false">IF(B85="","",IFERROR(INDEX(Produtos!$C$5:$C$44,MATCH(B85,Produtos!$A$5:$A$44,0)),0))</f>
        <v/>
      </c>
      <c r="F85" s="16" t="str">
        <f aca="false">IF(B85="","",C85*E85)</f>
        <v/>
      </c>
      <c r="G85" s="16" t="str">
        <f aca="false">IF(B85="","",C85*IFERROR(INDEX(Produtos!$D$5:$D$44,MATCH(B85,Produtos!$A$5:$A$44,0)),0))</f>
        <v/>
      </c>
      <c r="H85" s="16" t="str">
        <f aca="false">IF(B85="","",F85*IFERROR(INDEX(Despesas!$B$5:$B$8,MATCH(D85,Despesas!$A$5:$A$8,0)),0))</f>
        <v/>
      </c>
      <c r="I85" s="16" t="str">
        <f aca="false">IF(B85="","",F85-G85-H85)</f>
        <v/>
      </c>
    </row>
    <row r="86" customFormat="false" ht="15" hidden="false" customHeight="false" outlineLevel="0" collapsed="false">
      <c r="A86" s="34"/>
      <c r="B86" s="30"/>
      <c r="C86" s="30"/>
      <c r="D86" s="30"/>
      <c r="E86" s="16" t="str">
        <f aca="false">IF(B86="","",IFERROR(INDEX(Produtos!$C$5:$C$44,MATCH(B86,Produtos!$A$5:$A$44,0)),0))</f>
        <v/>
      </c>
      <c r="F86" s="16" t="str">
        <f aca="false">IF(B86="","",C86*E86)</f>
        <v/>
      </c>
      <c r="G86" s="16" t="str">
        <f aca="false">IF(B86="","",C86*IFERROR(INDEX(Produtos!$D$5:$D$44,MATCH(B86,Produtos!$A$5:$A$44,0)),0))</f>
        <v/>
      </c>
      <c r="H86" s="16" t="str">
        <f aca="false">IF(B86="","",F86*IFERROR(INDEX(Despesas!$B$5:$B$8,MATCH(D86,Despesas!$A$5:$A$8,0)),0))</f>
        <v/>
      </c>
      <c r="I86" s="16" t="str">
        <f aca="false">IF(B86="","",F86-G86-H86)</f>
        <v/>
      </c>
    </row>
    <row r="87" customFormat="false" ht="15" hidden="false" customHeight="false" outlineLevel="0" collapsed="false">
      <c r="A87" s="34"/>
      <c r="B87" s="30"/>
      <c r="C87" s="30"/>
      <c r="D87" s="30"/>
      <c r="E87" s="16" t="str">
        <f aca="false">IF(B87="","",IFERROR(INDEX(Produtos!$C$5:$C$44,MATCH(B87,Produtos!$A$5:$A$44,0)),0))</f>
        <v/>
      </c>
      <c r="F87" s="16" t="str">
        <f aca="false">IF(B87="","",C87*E87)</f>
        <v/>
      </c>
      <c r="G87" s="16" t="str">
        <f aca="false">IF(B87="","",C87*IFERROR(INDEX(Produtos!$D$5:$D$44,MATCH(B87,Produtos!$A$5:$A$44,0)),0))</f>
        <v/>
      </c>
      <c r="H87" s="16" t="str">
        <f aca="false">IF(B87="","",F87*IFERROR(INDEX(Despesas!$B$5:$B$8,MATCH(D87,Despesas!$A$5:$A$8,0)),0))</f>
        <v/>
      </c>
      <c r="I87" s="16" t="str">
        <f aca="false">IF(B87="","",F87-G87-H87)</f>
        <v/>
      </c>
    </row>
    <row r="88" customFormat="false" ht="15" hidden="false" customHeight="false" outlineLevel="0" collapsed="false">
      <c r="A88" s="34"/>
      <c r="B88" s="30"/>
      <c r="C88" s="30"/>
      <c r="D88" s="30"/>
      <c r="E88" s="16" t="str">
        <f aca="false">IF(B88="","",IFERROR(INDEX(Produtos!$C$5:$C$44,MATCH(B88,Produtos!$A$5:$A$44,0)),0))</f>
        <v/>
      </c>
      <c r="F88" s="16" t="str">
        <f aca="false">IF(B88="","",C88*E88)</f>
        <v/>
      </c>
      <c r="G88" s="16" t="str">
        <f aca="false">IF(B88="","",C88*IFERROR(INDEX(Produtos!$D$5:$D$44,MATCH(B88,Produtos!$A$5:$A$44,0)),0))</f>
        <v/>
      </c>
      <c r="H88" s="16" t="str">
        <f aca="false">IF(B88="","",F88*IFERROR(INDEX(Despesas!$B$5:$B$8,MATCH(D88,Despesas!$A$5:$A$8,0)),0))</f>
        <v/>
      </c>
      <c r="I88" s="16" t="str">
        <f aca="false">IF(B88="","",F88-G88-H88)</f>
        <v/>
      </c>
    </row>
    <row r="89" customFormat="false" ht="15" hidden="false" customHeight="false" outlineLevel="0" collapsed="false">
      <c r="A89" s="34"/>
      <c r="B89" s="30"/>
      <c r="C89" s="30"/>
      <c r="D89" s="30"/>
      <c r="E89" s="16" t="str">
        <f aca="false">IF(B89="","",IFERROR(INDEX(Produtos!$C$5:$C$44,MATCH(B89,Produtos!$A$5:$A$44,0)),0))</f>
        <v/>
      </c>
      <c r="F89" s="16" t="str">
        <f aca="false">IF(B89="","",C89*E89)</f>
        <v/>
      </c>
      <c r="G89" s="16" t="str">
        <f aca="false">IF(B89="","",C89*IFERROR(INDEX(Produtos!$D$5:$D$44,MATCH(B89,Produtos!$A$5:$A$44,0)),0))</f>
        <v/>
      </c>
      <c r="H89" s="16" t="str">
        <f aca="false">IF(B89="","",F89*IFERROR(INDEX(Despesas!$B$5:$B$8,MATCH(D89,Despesas!$A$5:$A$8,0)),0))</f>
        <v/>
      </c>
      <c r="I89" s="16" t="str">
        <f aca="false">IF(B89="","",F89-G89-H89)</f>
        <v/>
      </c>
    </row>
    <row r="90" customFormat="false" ht="15" hidden="false" customHeight="false" outlineLevel="0" collapsed="false">
      <c r="A90" s="34"/>
      <c r="B90" s="30"/>
      <c r="C90" s="30"/>
      <c r="D90" s="30"/>
      <c r="E90" s="16" t="str">
        <f aca="false">IF(B90="","",IFERROR(INDEX(Produtos!$C$5:$C$44,MATCH(B90,Produtos!$A$5:$A$44,0)),0))</f>
        <v/>
      </c>
      <c r="F90" s="16" t="str">
        <f aca="false">IF(B90="","",C90*E90)</f>
        <v/>
      </c>
      <c r="G90" s="16" t="str">
        <f aca="false">IF(B90="","",C90*IFERROR(INDEX(Produtos!$D$5:$D$44,MATCH(B90,Produtos!$A$5:$A$44,0)),0))</f>
        <v/>
      </c>
      <c r="H90" s="16" t="str">
        <f aca="false">IF(B90="","",F90*IFERROR(INDEX(Despesas!$B$5:$B$8,MATCH(D90,Despesas!$A$5:$A$8,0)),0))</f>
        <v/>
      </c>
      <c r="I90" s="16" t="str">
        <f aca="false">IF(B90="","",F90-G90-H90)</f>
        <v/>
      </c>
    </row>
    <row r="91" customFormat="false" ht="15" hidden="false" customHeight="false" outlineLevel="0" collapsed="false">
      <c r="A91" s="34"/>
      <c r="B91" s="30"/>
      <c r="C91" s="30"/>
      <c r="D91" s="30"/>
      <c r="E91" s="16" t="str">
        <f aca="false">IF(B91="","",IFERROR(INDEX(Produtos!$C$5:$C$44,MATCH(B91,Produtos!$A$5:$A$44,0)),0))</f>
        <v/>
      </c>
      <c r="F91" s="16" t="str">
        <f aca="false">IF(B91="","",C91*E91)</f>
        <v/>
      </c>
      <c r="G91" s="16" t="str">
        <f aca="false">IF(B91="","",C91*IFERROR(INDEX(Produtos!$D$5:$D$44,MATCH(B91,Produtos!$A$5:$A$44,0)),0))</f>
        <v/>
      </c>
      <c r="H91" s="16" t="str">
        <f aca="false">IF(B91="","",F91*IFERROR(INDEX(Despesas!$B$5:$B$8,MATCH(D91,Despesas!$A$5:$A$8,0)),0))</f>
        <v/>
      </c>
      <c r="I91" s="16" t="str">
        <f aca="false">IF(B91="","",F91-G91-H91)</f>
        <v/>
      </c>
    </row>
    <row r="92" customFormat="false" ht="15" hidden="false" customHeight="false" outlineLevel="0" collapsed="false">
      <c r="A92" s="34"/>
      <c r="B92" s="30"/>
      <c r="C92" s="30"/>
      <c r="D92" s="30"/>
      <c r="E92" s="16" t="str">
        <f aca="false">IF(B92="","",IFERROR(INDEX(Produtos!$C$5:$C$44,MATCH(B92,Produtos!$A$5:$A$44,0)),0))</f>
        <v/>
      </c>
      <c r="F92" s="16" t="str">
        <f aca="false">IF(B92="","",C92*E92)</f>
        <v/>
      </c>
      <c r="G92" s="16" t="str">
        <f aca="false">IF(B92="","",C92*IFERROR(INDEX(Produtos!$D$5:$D$44,MATCH(B92,Produtos!$A$5:$A$44,0)),0))</f>
        <v/>
      </c>
      <c r="H92" s="16" t="str">
        <f aca="false">IF(B92="","",F92*IFERROR(INDEX(Despesas!$B$5:$B$8,MATCH(D92,Despesas!$A$5:$A$8,0)),0))</f>
        <v/>
      </c>
      <c r="I92" s="16" t="str">
        <f aca="false">IF(B92="","",F92-G92-H92)</f>
        <v/>
      </c>
    </row>
    <row r="93" customFormat="false" ht="15" hidden="false" customHeight="false" outlineLevel="0" collapsed="false">
      <c r="A93" s="34"/>
      <c r="B93" s="30"/>
      <c r="C93" s="30"/>
      <c r="D93" s="30"/>
      <c r="E93" s="16" t="str">
        <f aca="false">IF(B93="","",IFERROR(INDEX(Produtos!$C$5:$C$44,MATCH(B93,Produtos!$A$5:$A$44,0)),0))</f>
        <v/>
      </c>
      <c r="F93" s="16" t="str">
        <f aca="false">IF(B93="","",C93*E93)</f>
        <v/>
      </c>
      <c r="G93" s="16" t="str">
        <f aca="false">IF(B93="","",C93*IFERROR(INDEX(Produtos!$D$5:$D$44,MATCH(B93,Produtos!$A$5:$A$44,0)),0))</f>
        <v/>
      </c>
      <c r="H93" s="16" t="str">
        <f aca="false">IF(B93="","",F93*IFERROR(INDEX(Despesas!$B$5:$B$8,MATCH(D93,Despesas!$A$5:$A$8,0)),0))</f>
        <v/>
      </c>
      <c r="I93" s="16" t="str">
        <f aca="false">IF(B93="","",F93-G93-H93)</f>
        <v/>
      </c>
    </row>
    <row r="94" customFormat="false" ht="15" hidden="false" customHeight="false" outlineLevel="0" collapsed="false">
      <c r="A94" s="34"/>
      <c r="B94" s="30"/>
      <c r="C94" s="30"/>
      <c r="D94" s="30"/>
      <c r="E94" s="16" t="str">
        <f aca="false">IF(B94="","",IFERROR(INDEX(Produtos!$C$5:$C$44,MATCH(B94,Produtos!$A$5:$A$44,0)),0))</f>
        <v/>
      </c>
      <c r="F94" s="16" t="str">
        <f aca="false">IF(B94="","",C94*E94)</f>
        <v/>
      </c>
      <c r="G94" s="16" t="str">
        <f aca="false">IF(B94="","",C94*IFERROR(INDEX(Produtos!$D$5:$D$44,MATCH(B94,Produtos!$A$5:$A$44,0)),0))</f>
        <v/>
      </c>
      <c r="H94" s="16" t="str">
        <f aca="false">IF(B94="","",F94*IFERROR(INDEX(Despesas!$B$5:$B$8,MATCH(D94,Despesas!$A$5:$A$8,0)),0))</f>
        <v/>
      </c>
      <c r="I94" s="16" t="str">
        <f aca="false">IF(B94="","",F94-G94-H94)</f>
        <v/>
      </c>
    </row>
    <row r="95" customFormat="false" ht="15" hidden="false" customHeight="false" outlineLevel="0" collapsed="false">
      <c r="A95" s="34"/>
      <c r="B95" s="30"/>
      <c r="C95" s="30"/>
      <c r="D95" s="30"/>
      <c r="E95" s="16" t="str">
        <f aca="false">IF(B95="","",IFERROR(INDEX(Produtos!$C$5:$C$44,MATCH(B95,Produtos!$A$5:$A$44,0)),0))</f>
        <v/>
      </c>
      <c r="F95" s="16" t="str">
        <f aca="false">IF(B95="","",C95*E95)</f>
        <v/>
      </c>
      <c r="G95" s="16" t="str">
        <f aca="false">IF(B95="","",C95*IFERROR(INDEX(Produtos!$D$5:$D$44,MATCH(B95,Produtos!$A$5:$A$44,0)),0))</f>
        <v/>
      </c>
      <c r="H95" s="16" t="str">
        <f aca="false">IF(B95="","",F95*IFERROR(INDEX(Despesas!$B$5:$B$8,MATCH(D95,Despesas!$A$5:$A$8,0)),0))</f>
        <v/>
      </c>
      <c r="I95" s="16" t="str">
        <f aca="false">IF(B95="","",F95-G95-H95)</f>
        <v/>
      </c>
    </row>
    <row r="96" customFormat="false" ht="15" hidden="false" customHeight="false" outlineLevel="0" collapsed="false">
      <c r="A96" s="34"/>
      <c r="B96" s="30"/>
      <c r="C96" s="30"/>
      <c r="D96" s="30"/>
      <c r="E96" s="16" t="str">
        <f aca="false">IF(B96="","",IFERROR(INDEX(Produtos!$C$5:$C$44,MATCH(B96,Produtos!$A$5:$A$44,0)),0))</f>
        <v/>
      </c>
      <c r="F96" s="16" t="str">
        <f aca="false">IF(B96="","",C96*E96)</f>
        <v/>
      </c>
      <c r="G96" s="16" t="str">
        <f aca="false">IF(B96="","",C96*IFERROR(INDEX(Produtos!$D$5:$D$44,MATCH(B96,Produtos!$A$5:$A$44,0)),0))</f>
        <v/>
      </c>
      <c r="H96" s="16" t="str">
        <f aca="false">IF(B96="","",F96*IFERROR(INDEX(Despesas!$B$5:$B$8,MATCH(D96,Despesas!$A$5:$A$8,0)),0))</f>
        <v/>
      </c>
      <c r="I96" s="16" t="str">
        <f aca="false">IF(B96="","",F96-G96-H96)</f>
        <v/>
      </c>
    </row>
    <row r="97" customFormat="false" ht="15" hidden="false" customHeight="false" outlineLevel="0" collapsed="false">
      <c r="A97" s="34"/>
      <c r="B97" s="30"/>
      <c r="C97" s="30"/>
      <c r="D97" s="30"/>
      <c r="E97" s="16" t="str">
        <f aca="false">IF(B97="","",IFERROR(INDEX(Produtos!$C$5:$C$44,MATCH(B97,Produtos!$A$5:$A$44,0)),0))</f>
        <v/>
      </c>
      <c r="F97" s="16" t="str">
        <f aca="false">IF(B97="","",C97*E97)</f>
        <v/>
      </c>
      <c r="G97" s="16" t="str">
        <f aca="false">IF(B97="","",C97*IFERROR(INDEX(Produtos!$D$5:$D$44,MATCH(B97,Produtos!$A$5:$A$44,0)),0))</f>
        <v/>
      </c>
      <c r="H97" s="16" t="str">
        <f aca="false">IF(B97="","",F97*IFERROR(INDEX(Despesas!$B$5:$B$8,MATCH(D97,Despesas!$A$5:$A$8,0)),0))</f>
        <v/>
      </c>
      <c r="I97" s="16" t="str">
        <f aca="false">IF(B97="","",F97-G97-H97)</f>
        <v/>
      </c>
    </row>
    <row r="98" customFormat="false" ht="15" hidden="false" customHeight="false" outlineLevel="0" collapsed="false">
      <c r="A98" s="34"/>
      <c r="B98" s="30"/>
      <c r="C98" s="30"/>
      <c r="D98" s="30"/>
      <c r="E98" s="16" t="str">
        <f aca="false">IF(B98="","",IFERROR(INDEX(Produtos!$C$5:$C$44,MATCH(B98,Produtos!$A$5:$A$44,0)),0))</f>
        <v/>
      </c>
      <c r="F98" s="16" t="str">
        <f aca="false">IF(B98="","",C98*E98)</f>
        <v/>
      </c>
      <c r="G98" s="16" t="str">
        <f aca="false">IF(B98="","",C98*IFERROR(INDEX(Produtos!$D$5:$D$44,MATCH(B98,Produtos!$A$5:$A$44,0)),0))</f>
        <v/>
      </c>
      <c r="H98" s="16" t="str">
        <f aca="false">IF(B98="","",F98*IFERROR(INDEX(Despesas!$B$5:$B$8,MATCH(D98,Despesas!$A$5:$A$8,0)),0))</f>
        <v/>
      </c>
      <c r="I98" s="16" t="str">
        <f aca="false">IF(B98="","",F98-G98-H98)</f>
        <v/>
      </c>
    </row>
    <row r="99" customFormat="false" ht="15" hidden="false" customHeight="false" outlineLevel="0" collapsed="false">
      <c r="A99" s="34"/>
      <c r="B99" s="30"/>
      <c r="C99" s="30"/>
      <c r="D99" s="30"/>
      <c r="E99" s="16" t="str">
        <f aca="false">IF(B99="","",IFERROR(INDEX(Produtos!$C$5:$C$44,MATCH(B99,Produtos!$A$5:$A$44,0)),0))</f>
        <v/>
      </c>
      <c r="F99" s="16" t="str">
        <f aca="false">IF(B99="","",C99*E99)</f>
        <v/>
      </c>
      <c r="G99" s="16" t="str">
        <f aca="false">IF(B99="","",C99*IFERROR(INDEX(Produtos!$D$5:$D$44,MATCH(B99,Produtos!$A$5:$A$44,0)),0))</f>
        <v/>
      </c>
      <c r="H99" s="16" t="str">
        <f aca="false">IF(B99="","",F99*IFERROR(INDEX(Despesas!$B$5:$B$8,MATCH(D99,Despesas!$A$5:$A$8,0)),0))</f>
        <v/>
      </c>
      <c r="I99" s="16" t="str">
        <f aca="false">IF(B99="","",F99-G99-H99)</f>
        <v/>
      </c>
    </row>
    <row r="100" customFormat="false" ht="15" hidden="false" customHeight="false" outlineLevel="0" collapsed="false">
      <c r="A100" s="34"/>
      <c r="B100" s="30"/>
      <c r="C100" s="30"/>
      <c r="D100" s="30"/>
      <c r="E100" s="16" t="str">
        <f aca="false">IF(B100="","",IFERROR(INDEX(Produtos!$C$5:$C$44,MATCH(B100,Produtos!$A$5:$A$44,0)),0))</f>
        <v/>
      </c>
      <c r="F100" s="16" t="str">
        <f aca="false">IF(B100="","",C100*E100)</f>
        <v/>
      </c>
      <c r="G100" s="16" t="str">
        <f aca="false">IF(B100="","",C100*IFERROR(INDEX(Produtos!$D$5:$D$44,MATCH(B100,Produtos!$A$5:$A$44,0)),0))</f>
        <v/>
      </c>
      <c r="H100" s="16" t="str">
        <f aca="false">IF(B100="","",F100*IFERROR(INDEX(Despesas!$B$5:$B$8,MATCH(D100,Despesas!$A$5:$A$8,0)),0))</f>
        <v/>
      </c>
      <c r="I100" s="16" t="str">
        <f aca="false">IF(B100="","",F100-G100-H100)</f>
        <v/>
      </c>
    </row>
    <row r="101" customFormat="false" ht="15" hidden="false" customHeight="false" outlineLevel="0" collapsed="false">
      <c r="A101" s="34"/>
      <c r="B101" s="30"/>
      <c r="C101" s="30"/>
      <c r="D101" s="30"/>
      <c r="E101" s="16" t="str">
        <f aca="false">IF(B101="","",IFERROR(INDEX(Produtos!$C$5:$C$44,MATCH(B101,Produtos!$A$5:$A$44,0)),0))</f>
        <v/>
      </c>
      <c r="F101" s="16" t="str">
        <f aca="false">IF(B101="","",C101*E101)</f>
        <v/>
      </c>
      <c r="G101" s="16" t="str">
        <f aca="false">IF(B101="","",C101*IFERROR(INDEX(Produtos!$D$5:$D$44,MATCH(B101,Produtos!$A$5:$A$44,0)),0))</f>
        <v/>
      </c>
      <c r="H101" s="16" t="str">
        <f aca="false">IF(B101="","",F101*IFERROR(INDEX(Despesas!$B$5:$B$8,MATCH(D101,Despesas!$A$5:$A$8,0)),0))</f>
        <v/>
      </c>
      <c r="I101" s="16" t="str">
        <f aca="false">IF(B101="","",F101-G101-H101)</f>
        <v/>
      </c>
    </row>
    <row r="102" customFormat="false" ht="15" hidden="false" customHeight="false" outlineLevel="0" collapsed="false">
      <c r="A102" s="34"/>
      <c r="B102" s="30"/>
      <c r="C102" s="30"/>
      <c r="D102" s="30"/>
      <c r="E102" s="16" t="str">
        <f aca="false">IF(B102="","",IFERROR(INDEX(Produtos!$C$5:$C$44,MATCH(B102,Produtos!$A$5:$A$44,0)),0))</f>
        <v/>
      </c>
      <c r="F102" s="16" t="str">
        <f aca="false">IF(B102="","",C102*E102)</f>
        <v/>
      </c>
      <c r="G102" s="16" t="str">
        <f aca="false">IF(B102="","",C102*IFERROR(INDEX(Produtos!$D$5:$D$44,MATCH(B102,Produtos!$A$5:$A$44,0)),0))</f>
        <v/>
      </c>
      <c r="H102" s="16" t="str">
        <f aca="false">IF(B102="","",F102*IFERROR(INDEX(Despesas!$B$5:$B$8,MATCH(D102,Despesas!$A$5:$A$8,0)),0))</f>
        <v/>
      </c>
      <c r="I102" s="16" t="str">
        <f aca="false">IF(B102="","",F102-G102-H102)</f>
        <v/>
      </c>
    </row>
    <row r="103" customFormat="false" ht="15" hidden="false" customHeight="false" outlineLevel="0" collapsed="false">
      <c r="A103" s="34"/>
      <c r="B103" s="30"/>
      <c r="C103" s="30"/>
      <c r="D103" s="30"/>
      <c r="E103" s="16" t="str">
        <f aca="false">IF(B103="","",IFERROR(INDEX(Produtos!$C$5:$C$44,MATCH(B103,Produtos!$A$5:$A$44,0)),0))</f>
        <v/>
      </c>
      <c r="F103" s="16" t="str">
        <f aca="false">IF(B103="","",C103*E103)</f>
        <v/>
      </c>
      <c r="G103" s="16" t="str">
        <f aca="false">IF(B103="","",C103*IFERROR(INDEX(Produtos!$D$5:$D$44,MATCH(B103,Produtos!$A$5:$A$44,0)),0))</f>
        <v/>
      </c>
      <c r="H103" s="16" t="str">
        <f aca="false">IF(B103="","",F103*IFERROR(INDEX(Despesas!$B$5:$B$8,MATCH(D103,Despesas!$A$5:$A$8,0)),0))</f>
        <v/>
      </c>
      <c r="I103" s="16" t="str">
        <f aca="false">IF(B103="","",F103-G103-H103)</f>
        <v/>
      </c>
    </row>
    <row r="104" customFormat="false" ht="15" hidden="false" customHeight="false" outlineLevel="0" collapsed="false">
      <c r="A104" s="34"/>
      <c r="B104" s="30"/>
      <c r="C104" s="30"/>
      <c r="D104" s="30"/>
      <c r="E104" s="16" t="str">
        <f aca="false">IF(B104="","",IFERROR(INDEX(Produtos!$C$5:$C$44,MATCH(B104,Produtos!$A$5:$A$44,0)),0))</f>
        <v/>
      </c>
      <c r="F104" s="16" t="str">
        <f aca="false">IF(B104="","",C104*E104)</f>
        <v/>
      </c>
      <c r="G104" s="16" t="str">
        <f aca="false">IF(B104="","",C104*IFERROR(INDEX(Produtos!$D$5:$D$44,MATCH(B104,Produtos!$A$5:$A$44,0)),0))</f>
        <v/>
      </c>
      <c r="H104" s="16" t="str">
        <f aca="false">IF(B104="","",F104*IFERROR(INDEX(Despesas!$B$5:$B$8,MATCH(D104,Despesas!$A$5:$A$8,0)),0))</f>
        <v/>
      </c>
      <c r="I104" s="16" t="str">
        <f aca="false">IF(B104="","",F104-G104-H104)</f>
        <v/>
      </c>
    </row>
    <row r="105" customFormat="false" ht="15" hidden="false" customHeight="false" outlineLevel="0" collapsed="false">
      <c r="A105" s="34"/>
      <c r="B105" s="30"/>
      <c r="C105" s="30"/>
      <c r="D105" s="30"/>
      <c r="E105" s="16" t="str">
        <f aca="false">IF(B105="","",IFERROR(INDEX(Produtos!$C$5:$C$44,MATCH(B105,Produtos!$A$5:$A$44,0)),0))</f>
        <v/>
      </c>
      <c r="F105" s="16" t="str">
        <f aca="false">IF(B105="","",C105*E105)</f>
        <v/>
      </c>
      <c r="G105" s="16" t="str">
        <f aca="false">IF(B105="","",C105*IFERROR(INDEX(Produtos!$D$5:$D$44,MATCH(B105,Produtos!$A$5:$A$44,0)),0))</f>
        <v/>
      </c>
      <c r="H105" s="16" t="str">
        <f aca="false">IF(B105="","",F105*IFERROR(INDEX(Despesas!$B$5:$B$8,MATCH(D105,Despesas!$A$5:$A$8,0)),0))</f>
        <v/>
      </c>
      <c r="I105" s="16" t="str">
        <f aca="false">IF(B105="","",F105-G105-H105)</f>
        <v/>
      </c>
    </row>
    <row r="106" customFormat="false" ht="15" hidden="false" customHeight="false" outlineLevel="0" collapsed="false">
      <c r="A106" s="34"/>
      <c r="B106" s="30"/>
      <c r="C106" s="30"/>
      <c r="D106" s="30"/>
      <c r="E106" s="16" t="str">
        <f aca="false">IF(B106="","",IFERROR(INDEX(Produtos!$C$5:$C$44,MATCH(B106,Produtos!$A$5:$A$44,0)),0))</f>
        <v/>
      </c>
      <c r="F106" s="16" t="str">
        <f aca="false">IF(B106="","",C106*E106)</f>
        <v/>
      </c>
      <c r="G106" s="16" t="str">
        <f aca="false">IF(B106="","",C106*IFERROR(INDEX(Produtos!$D$5:$D$44,MATCH(B106,Produtos!$A$5:$A$44,0)),0))</f>
        <v/>
      </c>
      <c r="H106" s="16" t="str">
        <f aca="false">IF(B106="","",F106*IFERROR(INDEX(Despesas!$B$5:$B$8,MATCH(D106,Despesas!$A$5:$A$8,0)),0))</f>
        <v/>
      </c>
      <c r="I106" s="16" t="str">
        <f aca="false">IF(B106="","",F106-G106-H106)</f>
        <v/>
      </c>
    </row>
    <row r="107" customFormat="false" ht="15" hidden="false" customHeight="false" outlineLevel="0" collapsed="false">
      <c r="A107" s="34"/>
      <c r="B107" s="30"/>
      <c r="C107" s="30"/>
      <c r="D107" s="30"/>
      <c r="E107" s="16" t="str">
        <f aca="false">IF(B107="","",IFERROR(INDEX(Produtos!$C$5:$C$44,MATCH(B107,Produtos!$A$5:$A$44,0)),0))</f>
        <v/>
      </c>
      <c r="F107" s="16" t="str">
        <f aca="false">IF(B107="","",C107*E107)</f>
        <v/>
      </c>
      <c r="G107" s="16" t="str">
        <f aca="false">IF(B107="","",C107*IFERROR(INDEX(Produtos!$D$5:$D$44,MATCH(B107,Produtos!$A$5:$A$44,0)),0))</f>
        <v/>
      </c>
      <c r="H107" s="16" t="str">
        <f aca="false">IF(B107="","",F107*IFERROR(INDEX(Despesas!$B$5:$B$8,MATCH(D107,Despesas!$A$5:$A$8,0)),0))</f>
        <v/>
      </c>
      <c r="I107" s="16" t="str">
        <f aca="false">IF(B107="","",F107-G107-H107)</f>
        <v/>
      </c>
    </row>
    <row r="108" customFormat="false" ht="15" hidden="false" customHeight="false" outlineLevel="0" collapsed="false">
      <c r="A108" s="34"/>
      <c r="B108" s="30"/>
      <c r="C108" s="30"/>
      <c r="D108" s="30"/>
      <c r="E108" s="16" t="str">
        <f aca="false">IF(B108="","",IFERROR(INDEX(Produtos!$C$5:$C$44,MATCH(B108,Produtos!$A$5:$A$44,0)),0))</f>
        <v/>
      </c>
      <c r="F108" s="16" t="str">
        <f aca="false">IF(B108="","",C108*E108)</f>
        <v/>
      </c>
      <c r="G108" s="16" t="str">
        <f aca="false">IF(B108="","",C108*IFERROR(INDEX(Produtos!$D$5:$D$44,MATCH(B108,Produtos!$A$5:$A$44,0)),0))</f>
        <v/>
      </c>
      <c r="H108" s="16" t="str">
        <f aca="false">IF(B108="","",F108*IFERROR(INDEX(Despesas!$B$5:$B$8,MATCH(D108,Despesas!$A$5:$A$8,0)),0))</f>
        <v/>
      </c>
      <c r="I108" s="16" t="str">
        <f aca="false">IF(B108="","",F108-G108-H108)</f>
        <v/>
      </c>
    </row>
    <row r="109" customFormat="false" ht="15" hidden="false" customHeight="false" outlineLevel="0" collapsed="false">
      <c r="A109" s="34"/>
      <c r="B109" s="30"/>
      <c r="C109" s="30"/>
      <c r="D109" s="30"/>
      <c r="E109" s="16" t="str">
        <f aca="false">IF(B109="","",IFERROR(INDEX(Produtos!$C$5:$C$44,MATCH(B109,Produtos!$A$5:$A$44,0)),0))</f>
        <v/>
      </c>
      <c r="F109" s="16" t="str">
        <f aca="false">IF(B109="","",C109*E109)</f>
        <v/>
      </c>
      <c r="G109" s="16" t="str">
        <f aca="false">IF(B109="","",C109*IFERROR(INDEX(Produtos!$D$5:$D$44,MATCH(B109,Produtos!$A$5:$A$44,0)),0))</f>
        <v/>
      </c>
      <c r="H109" s="16" t="str">
        <f aca="false">IF(B109="","",F109*IFERROR(INDEX(Despesas!$B$5:$B$8,MATCH(D109,Despesas!$A$5:$A$8,0)),0))</f>
        <v/>
      </c>
      <c r="I109" s="16" t="str">
        <f aca="false">IF(B109="","",F109-G109-H109)</f>
        <v/>
      </c>
    </row>
    <row r="110" customFormat="false" ht="15" hidden="false" customHeight="false" outlineLevel="0" collapsed="false">
      <c r="A110" s="34"/>
      <c r="B110" s="30"/>
      <c r="C110" s="30"/>
      <c r="D110" s="30"/>
      <c r="E110" s="16" t="str">
        <f aca="false">IF(B110="","",IFERROR(INDEX(Produtos!$C$5:$C$44,MATCH(B110,Produtos!$A$5:$A$44,0)),0))</f>
        <v/>
      </c>
      <c r="F110" s="16" t="str">
        <f aca="false">IF(B110="","",C110*E110)</f>
        <v/>
      </c>
      <c r="G110" s="16" t="str">
        <f aca="false">IF(B110="","",C110*IFERROR(INDEX(Produtos!$D$5:$D$44,MATCH(B110,Produtos!$A$5:$A$44,0)),0))</f>
        <v/>
      </c>
      <c r="H110" s="16" t="str">
        <f aca="false">IF(B110="","",F110*IFERROR(INDEX(Despesas!$B$5:$B$8,MATCH(D110,Despesas!$A$5:$A$8,0)),0))</f>
        <v/>
      </c>
      <c r="I110" s="16" t="str">
        <f aca="false">IF(B110="","",F110-G110-H110)</f>
        <v/>
      </c>
    </row>
    <row r="111" customFormat="false" ht="15" hidden="false" customHeight="false" outlineLevel="0" collapsed="false">
      <c r="A111" s="34"/>
      <c r="B111" s="30"/>
      <c r="C111" s="30"/>
      <c r="D111" s="30"/>
      <c r="E111" s="16" t="str">
        <f aca="false">IF(B111="","",IFERROR(INDEX(Produtos!$C$5:$C$44,MATCH(B111,Produtos!$A$5:$A$44,0)),0))</f>
        <v/>
      </c>
      <c r="F111" s="16" t="str">
        <f aca="false">IF(B111="","",C111*E111)</f>
        <v/>
      </c>
      <c r="G111" s="16" t="str">
        <f aca="false">IF(B111="","",C111*IFERROR(INDEX(Produtos!$D$5:$D$44,MATCH(B111,Produtos!$A$5:$A$44,0)),0))</f>
        <v/>
      </c>
      <c r="H111" s="16" t="str">
        <f aca="false">IF(B111="","",F111*IFERROR(INDEX(Despesas!$B$5:$B$8,MATCH(D111,Despesas!$A$5:$A$8,0)),0))</f>
        <v/>
      </c>
      <c r="I111" s="16" t="str">
        <f aca="false">IF(B111="","",F111-G111-H111)</f>
        <v/>
      </c>
    </row>
    <row r="112" customFormat="false" ht="15" hidden="false" customHeight="false" outlineLevel="0" collapsed="false">
      <c r="A112" s="34"/>
      <c r="B112" s="30"/>
      <c r="C112" s="30"/>
      <c r="D112" s="30"/>
      <c r="E112" s="16" t="str">
        <f aca="false">IF(B112="","",IFERROR(INDEX(Produtos!$C$5:$C$44,MATCH(B112,Produtos!$A$5:$A$44,0)),0))</f>
        <v/>
      </c>
      <c r="F112" s="16" t="str">
        <f aca="false">IF(B112="","",C112*E112)</f>
        <v/>
      </c>
      <c r="G112" s="16" t="str">
        <f aca="false">IF(B112="","",C112*IFERROR(INDEX(Produtos!$D$5:$D$44,MATCH(B112,Produtos!$A$5:$A$44,0)),0))</f>
        <v/>
      </c>
      <c r="H112" s="16" t="str">
        <f aca="false">IF(B112="","",F112*IFERROR(INDEX(Despesas!$B$5:$B$8,MATCH(D112,Despesas!$A$5:$A$8,0)),0))</f>
        <v/>
      </c>
      <c r="I112" s="16" t="str">
        <f aca="false">IF(B112="","",F112-G112-H112)</f>
        <v/>
      </c>
    </row>
    <row r="113" customFormat="false" ht="15" hidden="false" customHeight="false" outlineLevel="0" collapsed="false">
      <c r="A113" s="34"/>
      <c r="B113" s="30"/>
      <c r="C113" s="30"/>
      <c r="D113" s="30"/>
      <c r="E113" s="16" t="str">
        <f aca="false">IF(B113="","",IFERROR(INDEX(Produtos!$C$5:$C$44,MATCH(B113,Produtos!$A$5:$A$44,0)),0))</f>
        <v/>
      </c>
      <c r="F113" s="16" t="str">
        <f aca="false">IF(B113="","",C113*E113)</f>
        <v/>
      </c>
      <c r="G113" s="16" t="str">
        <f aca="false">IF(B113="","",C113*IFERROR(INDEX(Produtos!$D$5:$D$44,MATCH(B113,Produtos!$A$5:$A$44,0)),0))</f>
        <v/>
      </c>
      <c r="H113" s="16" t="str">
        <f aca="false">IF(B113="","",F113*IFERROR(INDEX(Despesas!$B$5:$B$8,MATCH(D113,Despesas!$A$5:$A$8,0)),0))</f>
        <v/>
      </c>
      <c r="I113" s="16" t="str">
        <f aca="false">IF(B113="","",F113-G113-H113)</f>
        <v/>
      </c>
    </row>
    <row r="114" customFormat="false" ht="15" hidden="false" customHeight="false" outlineLevel="0" collapsed="false">
      <c r="A114" s="34"/>
      <c r="B114" s="30"/>
      <c r="C114" s="30"/>
      <c r="D114" s="30"/>
      <c r="E114" s="16" t="str">
        <f aca="false">IF(B114="","",IFERROR(INDEX(Produtos!$C$5:$C$44,MATCH(B114,Produtos!$A$5:$A$44,0)),0))</f>
        <v/>
      </c>
      <c r="F114" s="16" t="str">
        <f aca="false">IF(B114="","",C114*E114)</f>
        <v/>
      </c>
      <c r="G114" s="16" t="str">
        <f aca="false">IF(B114="","",C114*IFERROR(INDEX(Produtos!$D$5:$D$44,MATCH(B114,Produtos!$A$5:$A$44,0)),0))</f>
        <v/>
      </c>
      <c r="H114" s="16" t="str">
        <f aca="false">IF(B114="","",F114*IFERROR(INDEX(Despesas!$B$5:$B$8,MATCH(D114,Despesas!$A$5:$A$8,0)),0))</f>
        <v/>
      </c>
      <c r="I114" s="16" t="str">
        <f aca="false">IF(B114="","",F114-G114-H114)</f>
        <v/>
      </c>
    </row>
    <row r="115" customFormat="false" ht="15" hidden="false" customHeight="false" outlineLevel="0" collapsed="false">
      <c r="A115" s="34"/>
      <c r="B115" s="30"/>
      <c r="C115" s="30"/>
      <c r="D115" s="30"/>
      <c r="E115" s="16" t="str">
        <f aca="false">IF(B115="","",IFERROR(INDEX(Produtos!$C$5:$C$44,MATCH(B115,Produtos!$A$5:$A$44,0)),0))</f>
        <v/>
      </c>
      <c r="F115" s="16" t="str">
        <f aca="false">IF(B115="","",C115*E115)</f>
        <v/>
      </c>
      <c r="G115" s="16" t="str">
        <f aca="false">IF(B115="","",C115*IFERROR(INDEX(Produtos!$D$5:$D$44,MATCH(B115,Produtos!$A$5:$A$44,0)),0))</f>
        <v/>
      </c>
      <c r="H115" s="16" t="str">
        <f aca="false">IF(B115="","",F115*IFERROR(INDEX(Despesas!$B$5:$B$8,MATCH(D115,Despesas!$A$5:$A$8,0)),0))</f>
        <v/>
      </c>
      <c r="I115" s="16" t="str">
        <f aca="false">IF(B115="","",F115-G115-H115)</f>
        <v/>
      </c>
    </row>
    <row r="116" customFormat="false" ht="15" hidden="false" customHeight="false" outlineLevel="0" collapsed="false">
      <c r="A116" s="34"/>
      <c r="B116" s="30"/>
      <c r="C116" s="30"/>
      <c r="D116" s="30"/>
      <c r="E116" s="16" t="str">
        <f aca="false">IF(B116="","",IFERROR(INDEX(Produtos!$C$5:$C$44,MATCH(B116,Produtos!$A$5:$A$44,0)),0))</f>
        <v/>
      </c>
      <c r="F116" s="16" t="str">
        <f aca="false">IF(B116="","",C116*E116)</f>
        <v/>
      </c>
      <c r="G116" s="16" t="str">
        <f aca="false">IF(B116="","",C116*IFERROR(INDEX(Produtos!$D$5:$D$44,MATCH(B116,Produtos!$A$5:$A$44,0)),0))</f>
        <v/>
      </c>
      <c r="H116" s="16" t="str">
        <f aca="false">IF(B116="","",F116*IFERROR(INDEX(Despesas!$B$5:$B$8,MATCH(D116,Despesas!$A$5:$A$8,0)),0))</f>
        <v/>
      </c>
      <c r="I116" s="16" t="str">
        <f aca="false">IF(B116="","",F116-G116-H116)</f>
        <v/>
      </c>
    </row>
    <row r="117" customFormat="false" ht="15" hidden="false" customHeight="false" outlineLevel="0" collapsed="false">
      <c r="A117" s="34"/>
      <c r="B117" s="30"/>
      <c r="C117" s="30"/>
      <c r="D117" s="30"/>
      <c r="E117" s="16" t="str">
        <f aca="false">IF(B117="","",IFERROR(INDEX(Produtos!$C$5:$C$44,MATCH(B117,Produtos!$A$5:$A$44,0)),0))</f>
        <v/>
      </c>
      <c r="F117" s="16" t="str">
        <f aca="false">IF(B117="","",C117*E117)</f>
        <v/>
      </c>
      <c r="G117" s="16" t="str">
        <f aca="false">IF(B117="","",C117*IFERROR(INDEX(Produtos!$D$5:$D$44,MATCH(B117,Produtos!$A$5:$A$44,0)),0))</f>
        <v/>
      </c>
      <c r="H117" s="16" t="str">
        <f aca="false">IF(B117="","",F117*IFERROR(INDEX(Despesas!$B$5:$B$8,MATCH(D117,Despesas!$A$5:$A$8,0)),0))</f>
        <v/>
      </c>
      <c r="I117" s="16" t="str">
        <f aca="false">IF(B117="","",F117-G117-H117)</f>
        <v/>
      </c>
    </row>
    <row r="118" customFormat="false" ht="15" hidden="false" customHeight="false" outlineLevel="0" collapsed="false">
      <c r="A118" s="34"/>
      <c r="B118" s="30"/>
      <c r="C118" s="30"/>
      <c r="D118" s="30"/>
      <c r="E118" s="16" t="str">
        <f aca="false">IF(B118="","",IFERROR(INDEX(Produtos!$C$5:$C$44,MATCH(B118,Produtos!$A$5:$A$44,0)),0))</f>
        <v/>
      </c>
      <c r="F118" s="16" t="str">
        <f aca="false">IF(B118="","",C118*E118)</f>
        <v/>
      </c>
      <c r="G118" s="16" t="str">
        <f aca="false">IF(B118="","",C118*IFERROR(INDEX(Produtos!$D$5:$D$44,MATCH(B118,Produtos!$A$5:$A$44,0)),0))</f>
        <v/>
      </c>
      <c r="H118" s="16" t="str">
        <f aca="false">IF(B118="","",F118*IFERROR(INDEX(Despesas!$B$5:$B$8,MATCH(D118,Despesas!$A$5:$A$8,0)),0))</f>
        <v/>
      </c>
      <c r="I118" s="16" t="str">
        <f aca="false">IF(B118="","",F118-G118-H118)</f>
        <v/>
      </c>
    </row>
    <row r="119" customFormat="false" ht="15" hidden="false" customHeight="false" outlineLevel="0" collapsed="false">
      <c r="A119" s="34"/>
      <c r="B119" s="30"/>
      <c r="C119" s="30"/>
      <c r="D119" s="30"/>
      <c r="E119" s="16" t="str">
        <f aca="false">IF(B119="","",IFERROR(INDEX(Produtos!$C$5:$C$44,MATCH(B119,Produtos!$A$5:$A$44,0)),0))</f>
        <v/>
      </c>
      <c r="F119" s="16" t="str">
        <f aca="false">IF(B119="","",C119*E119)</f>
        <v/>
      </c>
      <c r="G119" s="16" t="str">
        <f aca="false">IF(B119="","",C119*IFERROR(INDEX(Produtos!$D$5:$D$44,MATCH(B119,Produtos!$A$5:$A$44,0)),0))</f>
        <v/>
      </c>
      <c r="H119" s="16" t="str">
        <f aca="false">IF(B119="","",F119*IFERROR(INDEX(Despesas!$B$5:$B$8,MATCH(D119,Despesas!$A$5:$A$8,0)),0))</f>
        <v/>
      </c>
      <c r="I119" s="16" t="str">
        <f aca="false">IF(B119="","",F119-G119-H119)</f>
        <v/>
      </c>
    </row>
    <row r="120" customFormat="false" ht="15" hidden="false" customHeight="false" outlineLevel="0" collapsed="false">
      <c r="A120" s="34"/>
      <c r="B120" s="30"/>
      <c r="C120" s="30"/>
      <c r="D120" s="30"/>
      <c r="E120" s="16" t="str">
        <f aca="false">IF(B120="","",IFERROR(INDEX(Produtos!$C$5:$C$44,MATCH(B120,Produtos!$A$5:$A$44,0)),0))</f>
        <v/>
      </c>
      <c r="F120" s="16" t="str">
        <f aca="false">IF(B120="","",C120*E120)</f>
        <v/>
      </c>
      <c r="G120" s="16" t="str">
        <f aca="false">IF(B120="","",C120*IFERROR(INDEX(Produtos!$D$5:$D$44,MATCH(B120,Produtos!$A$5:$A$44,0)),0))</f>
        <v/>
      </c>
      <c r="H120" s="16" t="str">
        <f aca="false">IF(B120="","",F120*IFERROR(INDEX(Despesas!$B$5:$B$8,MATCH(D120,Despesas!$A$5:$A$8,0)),0))</f>
        <v/>
      </c>
      <c r="I120" s="16" t="str">
        <f aca="false">IF(B120="","",F120-G120-H120)</f>
        <v/>
      </c>
    </row>
    <row r="121" customFormat="false" ht="15" hidden="false" customHeight="false" outlineLevel="0" collapsed="false">
      <c r="A121" s="34"/>
      <c r="B121" s="30"/>
      <c r="C121" s="30"/>
      <c r="D121" s="30"/>
      <c r="E121" s="16" t="str">
        <f aca="false">IF(B121="","",IFERROR(INDEX(Produtos!$C$5:$C$44,MATCH(B121,Produtos!$A$5:$A$44,0)),0))</f>
        <v/>
      </c>
      <c r="F121" s="16" t="str">
        <f aca="false">IF(B121="","",C121*E121)</f>
        <v/>
      </c>
      <c r="G121" s="16" t="str">
        <f aca="false">IF(B121="","",C121*IFERROR(INDEX(Produtos!$D$5:$D$44,MATCH(B121,Produtos!$A$5:$A$44,0)),0))</f>
        <v/>
      </c>
      <c r="H121" s="16" t="str">
        <f aca="false">IF(B121="","",F121*IFERROR(INDEX(Despesas!$B$5:$B$8,MATCH(D121,Despesas!$A$5:$A$8,0)),0))</f>
        <v/>
      </c>
      <c r="I121" s="16" t="str">
        <f aca="false">IF(B121="","",F121-G121-H121)</f>
        <v/>
      </c>
    </row>
    <row r="122" customFormat="false" ht="15" hidden="false" customHeight="false" outlineLevel="0" collapsed="false">
      <c r="A122" s="34"/>
      <c r="B122" s="30"/>
      <c r="C122" s="30"/>
      <c r="D122" s="30"/>
      <c r="E122" s="16" t="str">
        <f aca="false">IF(B122="","",IFERROR(INDEX(Produtos!$C$5:$C$44,MATCH(B122,Produtos!$A$5:$A$44,0)),0))</f>
        <v/>
      </c>
      <c r="F122" s="16" t="str">
        <f aca="false">IF(B122="","",C122*E122)</f>
        <v/>
      </c>
      <c r="G122" s="16" t="str">
        <f aca="false">IF(B122="","",C122*IFERROR(INDEX(Produtos!$D$5:$D$44,MATCH(B122,Produtos!$A$5:$A$44,0)),0))</f>
        <v/>
      </c>
      <c r="H122" s="16" t="str">
        <f aca="false">IF(B122="","",F122*IFERROR(INDEX(Despesas!$B$5:$B$8,MATCH(D122,Despesas!$A$5:$A$8,0)),0))</f>
        <v/>
      </c>
      <c r="I122" s="16" t="str">
        <f aca="false">IF(B122="","",F122-G122-H122)</f>
        <v/>
      </c>
    </row>
    <row r="123" customFormat="false" ht="15" hidden="false" customHeight="false" outlineLevel="0" collapsed="false">
      <c r="A123" s="34"/>
      <c r="B123" s="30"/>
      <c r="C123" s="30"/>
      <c r="D123" s="30"/>
      <c r="E123" s="16" t="str">
        <f aca="false">IF(B123="","",IFERROR(INDEX(Produtos!$C$5:$C$44,MATCH(B123,Produtos!$A$5:$A$44,0)),0))</f>
        <v/>
      </c>
      <c r="F123" s="16" t="str">
        <f aca="false">IF(B123="","",C123*E123)</f>
        <v/>
      </c>
      <c r="G123" s="16" t="str">
        <f aca="false">IF(B123="","",C123*IFERROR(INDEX(Produtos!$D$5:$D$44,MATCH(B123,Produtos!$A$5:$A$44,0)),0))</f>
        <v/>
      </c>
      <c r="H123" s="16" t="str">
        <f aca="false">IF(B123="","",F123*IFERROR(INDEX(Despesas!$B$5:$B$8,MATCH(D123,Despesas!$A$5:$A$8,0)),0))</f>
        <v/>
      </c>
      <c r="I123" s="16" t="str">
        <f aca="false">IF(B123="","",F123-G123-H123)</f>
        <v/>
      </c>
    </row>
    <row r="124" customFormat="false" ht="15" hidden="false" customHeight="false" outlineLevel="0" collapsed="false">
      <c r="A124" s="34"/>
      <c r="B124" s="30"/>
      <c r="C124" s="30"/>
      <c r="D124" s="30"/>
      <c r="E124" s="16" t="str">
        <f aca="false">IF(B124="","",IFERROR(INDEX(Produtos!$C$5:$C$44,MATCH(B124,Produtos!$A$5:$A$44,0)),0))</f>
        <v/>
      </c>
      <c r="F124" s="16" t="str">
        <f aca="false">IF(B124="","",C124*E124)</f>
        <v/>
      </c>
      <c r="G124" s="16" t="str">
        <f aca="false">IF(B124="","",C124*IFERROR(INDEX(Produtos!$D$5:$D$44,MATCH(B124,Produtos!$A$5:$A$44,0)),0))</f>
        <v/>
      </c>
      <c r="H124" s="16" t="str">
        <f aca="false">IF(B124="","",F124*IFERROR(INDEX(Despesas!$B$5:$B$8,MATCH(D124,Despesas!$A$5:$A$8,0)),0))</f>
        <v/>
      </c>
      <c r="I124" s="16" t="str">
        <f aca="false">IF(B124="","",F124-G124-H124)</f>
        <v/>
      </c>
    </row>
    <row r="125" customFormat="false" ht="15" hidden="false" customHeight="false" outlineLevel="0" collapsed="false">
      <c r="A125" s="34"/>
      <c r="B125" s="30"/>
      <c r="C125" s="30"/>
      <c r="D125" s="30"/>
      <c r="E125" s="16" t="str">
        <f aca="false">IF(B125="","",IFERROR(INDEX(Produtos!$C$5:$C$44,MATCH(B125,Produtos!$A$5:$A$44,0)),0))</f>
        <v/>
      </c>
      <c r="F125" s="16" t="str">
        <f aca="false">IF(B125="","",C125*E125)</f>
        <v/>
      </c>
      <c r="G125" s="16" t="str">
        <f aca="false">IF(B125="","",C125*IFERROR(INDEX(Produtos!$D$5:$D$44,MATCH(B125,Produtos!$A$5:$A$44,0)),0))</f>
        <v/>
      </c>
      <c r="H125" s="16" t="str">
        <f aca="false">IF(B125="","",F125*IFERROR(INDEX(Despesas!$B$5:$B$8,MATCH(D125,Despesas!$A$5:$A$8,0)),0))</f>
        <v/>
      </c>
      <c r="I125" s="16" t="str">
        <f aca="false">IF(B125="","",F125-G125-H125)</f>
        <v/>
      </c>
    </row>
    <row r="126" customFormat="false" ht="15" hidden="false" customHeight="false" outlineLevel="0" collapsed="false">
      <c r="A126" s="34"/>
      <c r="B126" s="30"/>
      <c r="C126" s="30"/>
      <c r="D126" s="30"/>
      <c r="E126" s="16" t="str">
        <f aca="false">IF(B126="","",IFERROR(INDEX(Produtos!$C$5:$C$44,MATCH(B126,Produtos!$A$5:$A$44,0)),0))</f>
        <v/>
      </c>
      <c r="F126" s="16" t="str">
        <f aca="false">IF(B126="","",C126*E126)</f>
        <v/>
      </c>
      <c r="G126" s="16" t="str">
        <f aca="false">IF(B126="","",C126*IFERROR(INDEX(Produtos!$D$5:$D$44,MATCH(B126,Produtos!$A$5:$A$44,0)),0))</f>
        <v/>
      </c>
      <c r="H126" s="16" t="str">
        <f aca="false">IF(B126="","",F126*IFERROR(INDEX(Despesas!$B$5:$B$8,MATCH(D126,Despesas!$A$5:$A$8,0)),0))</f>
        <v/>
      </c>
      <c r="I126" s="16" t="str">
        <f aca="false">IF(B126="","",F126-G126-H126)</f>
        <v/>
      </c>
    </row>
    <row r="127" customFormat="false" ht="15" hidden="false" customHeight="false" outlineLevel="0" collapsed="false">
      <c r="A127" s="34"/>
      <c r="B127" s="30"/>
      <c r="C127" s="30"/>
      <c r="D127" s="30"/>
      <c r="E127" s="16" t="str">
        <f aca="false">IF(B127="","",IFERROR(INDEX(Produtos!$C$5:$C$44,MATCH(B127,Produtos!$A$5:$A$44,0)),0))</f>
        <v/>
      </c>
      <c r="F127" s="16" t="str">
        <f aca="false">IF(B127="","",C127*E127)</f>
        <v/>
      </c>
      <c r="G127" s="16" t="str">
        <f aca="false">IF(B127="","",C127*IFERROR(INDEX(Produtos!$D$5:$D$44,MATCH(B127,Produtos!$A$5:$A$44,0)),0))</f>
        <v/>
      </c>
      <c r="H127" s="16" t="str">
        <f aca="false">IF(B127="","",F127*IFERROR(INDEX(Despesas!$B$5:$B$8,MATCH(D127,Despesas!$A$5:$A$8,0)),0))</f>
        <v/>
      </c>
      <c r="I127" s="16" t="str">
        <f aca="false">IF(B127="","",F127-G127-H127)</f>
        <v/>
      </c>
    </row>
    <row r="128" customFormat="false" ht="15" hidden="false" customHeight="false" outlineLevel="0" collapsed="false">
      <c r="A128" s="34"/>
      <c r="B128" s="30"/>
      <c r="C128" s="30"/>
      <c r="D128" s="30"/>
      <c r="E128" s="16" t="str">
        <f aca="false">IF(B128="","",IFERROR(INDEX(Produtos!$C$5:$C$44,MATCH(B128,Produtos!$A$5:$A$44,0)),0))</f>
        <v/>
      </c>
      <c r="F128" s="16" t="str">
        <f aca="false">IF(B128="","",C128*E128)</f>
        <v/>
      </c>
      <c r="G128" s="16" t="str">
        <f aca="false">IF(B128="","",C128*IFERROR(INDEX(Produtos!$D$5:$D$44,MATCH(B128,Produtos!$A$5:$A$44,0)),0))</f>
        <v/>
      </c>
      <c r="H128" s="16" t="str">
        <f aca="false">IF(B128="","",F128*IFERROR(INDEX(Despesas!$B$5:$B$8,MATCH(D128,Despesas!$A$5:$A$8,0)),0))</f>
        <v/>
      </c>
      <c r="I128" s="16" t="str">
        <f aca="false">IF(B128="","",F128-G128-H128)</f>
        <v/>
      </c>
    </row>
    <row r="129" customFormat="false" ht="15" hidden="false" customHeight="false" outlineLevel="0" collapsed="false">
      <c r="A129" s="34"/>
      <c r="B129" s="30"/>
      <c r="C129" s="30"/>
      <c r="D129" s="30"/>
      <c r="E129" s="16" t="str">
        <f aca="false">IF(B129="","",IFERROR(INDEX(Produtos!$C$5:$C$44,MATCH(B129,Produtos!$A$5:$A$44,0)),0))</f>
        <v/>
      </c>
      <c r="F129" s="16" t="str">
        <f aca="false">IF(B129="","",C129*E129)</f>
        <v/>
      </c>
      <c r="G129" s="16" t="str">
        <f aca="false">IF(B129="","",C129*IFERROR(INDEX(Produtos!$D$5:$D$44,MATCH(B129,Produtos!$A$5:$A$44,0)),0))</f>
        <v/>
      </c>
      <c r="H129" s="16" t="str">
        <f aca="false">IF(B129="","",F129*IFERROR(INDEX(Despesas!$B$5:$B$8,MATCH(D129,Despesas!$A$5:$A$8,0)),0))</f>
        <v/>
      </c>
      <c r="I129" s="16" t="str">
        <f aca="false">IF(B129="","",F129-G129-H129)</f>
        <v/>
      </c>
    </row>
    <row r="130" customFormat="false" ht="15" hidden="false" customHeight="false" outlineLevel="0" collapsed="false">
      <c r="A130" s="34"/>
      <c r="B130" s="30"/>
      <c r="C130" s="30"/>
      <c r="D130" s="30"/>
      <c r="E130" s="16" t="str">
        <f aca="false">IF(B130="","",IFERROR(INDEX(Produtos!$C$5:$C$44,MATCH(B130,Produtos!$A$5:$A$44,0)),0))</f>
        <v/>
      </c>
      <c r="F130" s="16" t="str">
        <f aca="false">IF(B130="","",C130*E130)</f>
        <v/>
      </c>
      <c r="G130" s="16" t="str">
        <f aca="false">IF(B130="","",C130*IFERROR(INDEX(Produtos!$D$5:$D$44,MATCH(B130,Produtos!$A$5:$A$44,0)),0))</f>
        <v/>
      </c>
      <c r="H130" s="16" t="str">
        <f aca="false">IF(B130="","",F130*IFERROR(INDEX(Despesas!$B$5:$B$8,MATCH(D130,Despesas!$A$5:$A$8,0)),0))</f>
        <v/>
      </c>
      <c r="I130" s="16" t="str">
        <f aca="false">IF(B130="","",F130-G130-H130)</f>
        <v/>
      </c>
    </row>
    <row r="131" customFormat="false" ht="15" hidden="false" customHeight="false" outlineLevel="0" collapsed="false">
      <c r="A131" s="34"/>
      <c r="B131" s="30"/>
      <c r="C131" s="30"/>
      <c r="D131" s="30"/>
      <c r="E131" s="16" t="str">
        <f aca="false">IF(B131="","",IFERROR(INDEX(Produtos!$C$5:$C$44,MATCH(B131,Produtos!$A$5:$A$44,0)),0))</f>
        <v/>
      </c>
      <c r="F131" s="16" t="str">
        <f aca="false">IF(B131="","",C131*E131)</f>
        <v/>
      </c>
      <c r="G131" s="16" t="str">
        <f aca="false">IF(B131="","",C131*IFERROR(INDEX(Produtos!$D$5:$D$44,MATCH(B131,Produtos!$A$5:$A$44,0)),0))</f>
        <v/>
      </c>
      <c r="H131" s="16" t="str">
        <f aca="false">IF(B131="","",F131*IFERROR(INDEX(Despesas!$B$5:$B$8,MATCH(D131,Despesas!$A$5:$A$8,0)),0))</f>
        <v/>
      </c>
      <c r="I131" s="16" t="str">
        <f aca="false">IF(B131="","",F131-G131-H131)</f>
        <v/>
      </c>
    </row>
    <row r="132" customFormat="false" ht="15" hidden="false" customHeight="false" outlineLevel="0" collapsed="false">
      <c r="A132" s="34"/>
      <c r="B132" s="30"/>
      <c r="C132" s="30"/>
      <c r="D132" s="30"/>
      <c r="E132" s="16" t="str">
        <f aca="false">IF(B132="","",IFERROR(INDEX(Produtos!$C$5:$C$44,MATCH(B132,Produtos!$A$5:$A$44,0)),0))</f>
        <v/>
      </c>
      <c r="F132" s="16" t="str">
        <f aca="false">IF(B132="","",C132*E132)</f>
        <v/>
      </c>
      <c r="G132" s="16" t="str">
        <f aca="false">IF(B132="","",C132*IFERROR(INDEX(Produtos!$D$5:$D$44,MATCH(B132,Produtos!$A$5:$A$44,0)),0))</f>
        <v/>
      </c>
      <c r="H132" s="16" t="str">
        <f aca="false">IF(B132="","",F132*IFERROR(INDEX(Despesas!$B$5:$B$8,MATCH(D132,Despesas!$A$5:$A$8,0)),0))</f>
        <v/>
      </c>
      <c r="I132" s="16" t="str">
        <f aca="false">IF(B132="","",F132-G132-H132)</f>
        <v/>
      </c>
    </row>
    <row r="133" customFormat="false" ht="15" hidden="false" customHeight="false" outlineLevel="0" collapsed="false">
      <c r="A133" s="34"/>
      <c r="B133" s="30"/>
      <c r="C133" s="30"/>
      <c r="D133" s="30"/>
      <c r="E133" s="16" t="str">
        <f aca="false">IF(B133="","",IFERROR(INDEX(Produtos!$C$5:$C$44,MATCH(B133,Produtos!$A$5:$A$44,0)),0))</f>
        <v/>
      </c>
      <c r="F133" s="16" t="str">
        <f aca="false">IF(B133="","",C133*E133)</f>
        <v/>
      </c>
      <c r="G133" s="16" t="str">
        <f aca="false">IF(B133="","",C133*IFERROR(INDEX(Produtos!$D$5:$D$44,MATCH(B133,Produtos!$A$5:$A$44,0)),0))</f>
        <v/>
      </c>
      <c r="H133" s="16" t="str">
        <f aca="false">IF(B133="","",F133*IFERROR(INDEX(Despesas!$B$5:$B$8,MATCH(D133,Despesas!$A$5:$A$8,0)),0))</f>
        <v/>
      </c>
      <c r="I133" s="16" t="str">
        <f aca="false">IF(B133="","",F133-G133-H133)</f>
        <v/>
      </c>
    </row>
    <row r="134" customFormat="false" ht="15" hidden="false" customHeight="false" outlineLevel="0" collapsed="false">
      <c r="A134" s="34"/>
      <c r="B134" s="30"/>
      <c r="C134" s="30"/>
      <c r="D134" s="30"/>
      <c r="E134" s="16" t="str">
        <f aca="false">IF(B134="","",IFERROR(INDEX(Produtos!$C$5:$C$44,MATCH(B134,Produtos!$A$5:$A$44,0)),0))</f>
        <v/>
      </c>
      <c r="F134" s="16" t="str">
        <f aca="false">IF(B134="","",C134*E134)</f>
        <v/>
      </c>
      <c r="G134" s="16" t="str">
        <f aca="false">IF(B134="","",C134*IFERROR(INDEX(Produtos!$D$5:$D$44,MATCH(B134,Produtos!$A$5:$A$44,0)),0))</f>
        <v/>
      </c>
      <c r="H134" s="16" t="str">
        <f aca="false">IF(B134="","",F134*IFERROR(INDEX(Despesas!$B$5:$B$8,MATCH(D134,Despesas!$A$5:$A$8,0)),0))</f>
        <v/>
      </c>
      <c r="I134" s="16" t="str">
        <f aca="false">IF(B134="","",F134-G134-H134)</f>
        <v/>
      </c>
    </row>
    <row r="135" customFormat="false" ht="15" hidden="false" customHeight="false" outlineLevel="0" collapsed="false">
      <c r="A135" s="34"/>
      <c r="B135" s="30"/>
      <c r="C135" s="30"/>
      <c r="D135" s="30"/>
      <c r="E135" s="16" t="str">
        <f aca="false">IF(B135="","",IFERROR(INDEX(Produtos!$C$5:$C$44,MATCH(B135,Produtos!$A$5:$A$44,0)),0))</f>
        <v/>
      </c>
      <c r="F135" s="16" t="str">
        <f aca="false">IF(B135="","",C135*E135)</f>
        <v/>
      </c>
      <c r="G135" s="16" t="str">
        <f aca="false">IF(B135="","",C135*IFERROR(INDEX(Produtos!$D$5:$D$44,MATCH(B135,Produtos!$A$5:$A$44,0)),0))</f>
        <v/>
      </c>
      <c r="H135" s="16" t="str">
        <f aca="false">IF(B135="","",F135*IFERROR(INDEX(Despesas!$B$5:$B$8,MATCH(D135,Despesas!$A$5:$A$8,0)),0))</f>
        <v/>
      </c>
      <c r="I135" s="16" t="str">
        <f aca="false">IF(B135="","",F135-G135-H135)</f>
        <v/>
      </c>
    </row>
    <row r="136" customFormat="false" ht="15" hidden="false" customHeight="false" outlineLevel="0" collapsed="false">
      <c r="A136" s="34"/>
      <c r="B136" s="30"/>
      <c r="C136" s="30"/>
      <c r="D136" s="30"/>
      <c r="E136" s="16" t="str">
        <f aca="false">IF(B136="","",IFERROR(INDEX(Produtos!$C$5:$C$44,MATCH(B136,Produtos!$A$5:$A$44,0)),0))</f>
        <v/>
      </c>
      <c r="F136" s="16" t="str">
        <f aca="false">IF(B136="","",C136*E136)</f>
        <v/>
      </c>
      <c r="G136" s="16" t="str">
        <f aca="false">IF(B136="","",C136*IFERROR(INDEX(Produtos!$D$5:$D$44,MATCH(B136,Produtos!$A$5:$A$44,0)),0))</f>
        <v/>
      </c>
      <c r="H136" s="16" t="str">
        <f aca="false">IF(B136="","",F136*IFERROR(INDEX(Despesas!$B$5:$B$8,MATCH(D136,Despesas!$A$5:$A$8,0)),0))</f>
        <v/>
      </c>
      <c r="I136" s="16" t="str">
        <f aca="false">IF(B136="","",F136-G136-H136)</f>
        <v/>
      </c>
    </row>
    <row r="137" customFormat="false" ht="15" hidden="false" customHeight="false" outlineLevel="0" collapsed="false">
      <c r="A137" s="34"/>
      <c r="B137" s="30"/>
      <c r="C137" s="30"/>
      <c r="D137" s="30"/>
      <c r="E137" s="16" t="str">
        <f aca="false">IF(B137="","",IFERROR(INDEX(Produtos!$C$5:$C$44,MATCH(B137,Produtos!$A$5:$A$44,0)),0))</f>
        <v/>
      </c>
      <c r="F137" s="16" t="str">
        <f aca="false">IF(B137="","",C137*E137)</f>
        <v/>
      </c>
      <c r="G137" s="16" t="str">
        <f aca="false">IF(B137="","",C137*IFERROR(INDEX(Produtos!$D$5:$D$44,MATCH(B137,Produtos!$A$5:$A$44,0)),0))</f>
        <v/>
      </c>
      <c r="H137" s="16" t="str">
        <f aca="false">IF(B137="","",F137*IFERROR(INDEX(Despesas!$B$5:$B$8,MATCH(D137,Despesas!$A$5:$A$8,0)),0))</f>
        <v/>
      </c>
      <c r="I137" s="16" t="str">
        <f aca="false">IF(B137="","",F137-G137-H137)</f>
        <v/>
      </c>
    </row>
    <row r="138" customFormat="false" ht="15" hidden="false" customHeight="false" outlineLevel="0" collapsed="false">
      <c r="A138" s="34"/>
      <c r="B138" s="30"/>
      <c r="C138" s="30"/>
      <c r="D138" s="30"/>
      <c r="E138" s="16" t="str">
        <f aca="false">IF(B138="","",IFERROR(INDEX(Produtos!$C$5:$C$44,MATCH(B138,Produtos!$A$5:$A$44,0)),0))</f>
        <v/>
      </c>
      <c r="F138" s="16" t="str">
        <f aca="false">IF(B138="","",C138*E138)</f>
        <v/>
      </c>
      <c r="G138" s="16" t="str">
        <f aca="false">IF(B138="","",C138*IFERROR(INDEX(Produtos!$D$5:$D$44,MATCH(B138,Produtos!$A$5:$A$44,0)),0))</f>
        <v/>
      </c>
      <c r="H138" s="16" t="str">
        <f aca="false">IF(B138="","",F138*IFERROR(INDEX(Despesas!$B$5:$B$8,MATCH(D138,Despesas!$A$5:$A$8,0)),0))</f>
        <v/>
      </c>
      <c r="I138" s="16" t="str">
        <f aca="false">IF(B138="","",F138-G138-H138)</f>
        <v/>
      </c>
    </row>
    <row r="139" customFormat="false" ht="15" hidden="false" customHeight="false" outlineLevel="0" collapsed="false">
      <c r="A139" s="34"/>
      <c r="B139" s="30"/>
      <c r="C139" s="30"/>
      <c r="D139" s="30"/>
      <c r="E139" s="16" t="str">
        <f aca="false">IF(B139="","",IFERROR(INDEX(Produtos!$C$5:$C$44,MATCH(B139,Produtos!$A$5:$A$44,0)),0))</f>
        <v/>
      </c>
      <c r="F139" s="16" t="str">
        <f aca="false">IF(B139="","",C139*E139)</f>
        <v/>
      </c>
      <c r="G139" s="16" t="str">
        <f aca="false">IF(B139="","",C139*IFERROR(INDEX(Produtos!$D$5:$D$44,MATCH(B139,Produtos!$A$5:$A$44,0)),0))</f>
        <v/>
      </c>
      <c r="H139" s="16" t="str">
        <f aca="false">IF(B139="","",F139*IFERROR(INDEX(Despesas!$B$5:$B$8,MATCH(D139,Despesas!$A$5:$A$8,0)),0))</f>
        <v/>
      </c>
      <c r="I139" s="16" t="str">
        <f aca="false">IF(B139="","",F139-G139-H139)</f>
        <v/>
      </c>
    </row>
    <row r="140" customFormat="false" ht="15" hidden="false" customHeight="false" outlineLevel="0" collapsed="false">
      <c r="A140" s="34"/>
      <c r="B140" s="30"/>
      <c r="C140" s="30"/>
      <c r="D140" s="30"/>
      <c r="E140" s="16" t="str">
        <f aca="false">IF(B140="","",IFERROR(INDEX(Produtos!$C$5:$C$44,MATCH(B140,Produtos!$A$5:$A$44,0)),0))</f>
        <v/>
      </c>
      <c r="F140" s="16" t="str">
        <f aca="false">IF(B140="","",C140*E140)</f>
        <v/>
      </c>
      <c r="G140" s="16" t="str">
        <f aca="false">IF(B140="","",C140*IFERROR(INDEX(Produtos!$D$5:$D$44,MATCH(B140,Produtos!$A$5:$A$44,0)),0))</f>
        <v/>
      </c>
      <c r="H140" s="16" t="str">
        <f aca="false">IF(B140="","",F140*IFERROR(INDEX(Despesas!$B$5:$B$8,MATCH(D140,Despesas!$A$5:$A$8,0)),0))</f>
        <v/>
      </c>
      <c r="I140" s="16" t="str">
        <f aca="false">IF(B140="","",F140-G140-H140)</f>
        <v/>
      </c>
    </row>
    <row r="141" customFormat="false" ht="15" hidden="false" customHeight="false" outlineLevel="0" collapsed="false">
      <c r="A141" s="34"/>
      <c r="B141" s="30"/>
      <c r="C141" s="30"/>
      <c r="D141" s="30"/>
      <c r="E141" s="16" t="str">
        <f aca="false">IF(B141="","",IFERROR(INDEX(Produtos!$C$5:$C$44,MATCH(B141,Produtos!$A$5:$A$44,0)),0))</f>
        <v/>
      </c>
      <c r="F141" s="16" t="str">
        <f aca="false">IF(B141="","",C141*E141)</f>
        <v/>
      </c>
      <c r="G141" s="16" t="str">
        <f aca="false">IF(B141="","",C141*IFERROR(INDEX(Produtos!$D$5:$D$44,MATCH(B141,Produtos!$A$5:$A$44,0)),0))</f>
        <v/>
      </c>
      <c r="H141" s="16" t="str">
        <f aca="false">IF(B141="","",F141*IFERROR(INDEX(Despesas!$B$5:$B$8,MATCH(D141,Despesas!$A$5:$A$8,0)),0))</f>
        <v/>
      </c>
      <c r="I141" s="16" t="str">
        <f aca="false">IF(B141="","",F141-G141-H141)</f>
        <v/>
      </c>
    </row>
    <row r="142" customFormat="false" ht="15" hidden="false" customHeight="false" outlineLevel="0" collapsed="false">
      <c r="A142" s="34"/>
      <c r="B142" s="30"/>
      <c r="C142" s="30"/>
      <c r="D142" s="30"/>
      <c r="E142" s="16" t="str">
        <f aca="false">IF(B142="","",IFERROR(INDEX(Produtos!$C$5:$C$44,MATCH(B142,Produtos!$A$5:$A$44,0)),0))</f>
        <v/>
      </c>
      <c r="F142" s="16" t="str">
        <f aca="false">IF(B142="","",C142*E142)</f>
        <v/>
      </c>
      <c r="G142" s="16" t="str">
        <f aca="false">IF(B142="","",C142*IFERROR(INDEX(Produtos!$D$5:$D$44,MATCH(B142,Produtos!$A$5:$A$44,0)),0))</f>
        <v/>
      </c>
      <c r="H142" s="16" t="str">
        <f aca="false">IF(B142="","",F142*IFERROR(INDEX(Despesas!$B$5:$B$8,MATCH(D142,Despesas!$A$5:$A$8,0)),0))</f>
        <v/>
      </c>
      <c r="I142" s="16" t="str">
        <f aca="false">IF(B142="","",F142-G142-H142)</f>
        <v/>
      </c>
    </row>
    <row r="143" customFormat="false" ht="15" hidden="false" customHeight="false" outlineLevel="0" collapsed="false">
      <c r="A143" s="34"/>
      <c r="B143" s="30"/>
      <c r="C143" s="30"/>
      <c r="D143" s="30"/>
      <c r="E143" s="16" t="str">
        <f aca="false">IF(B143="","",IFERROR(INDEX(Produtos!$C$5:$C$44,MATCH(B143,Produtos!$A$5:$A$44,0)),0))</f>
        <v/>
      </c>
      <c r="F143" s="16" t="str">
        <f aca="false">IF(B143="","",C143*E143)</f>
        <v/>
      </c>
      <c r="G143" s="16" t="str">
        <f aca="false">IF(B143="","",C143*IFERROR(INDEX(Produtos!$D$5:$D$44,MATCH(B143,Produtos!$A$5:$A$44,0)),0))</f>
        <v/>
      </c>
      <c r="H143" s="16" t="str">
        <f aca="false">IF(B143="","",F143*IFERROR(INDEX(Despesas!$B$5:$B$8,MATCH(D143,Despesas!$A$5:$A$8,0)),0))</f>
        <v/>
      </c>
      <c r="I143" s="16" t="str">
        <f aca="false">IF(B143="","",F143-G143-H143)</f>
        <v/>
      </c>
    </row>
    <row r="144" customFormat="false" ht="15" hidden="false" customHeight="false" outlineLevel="0" collapsed="false">
      <c r="A144" s="34"/>
      <c r="B144" s="30"/>
      <c r="C144" s="30"/>
      <c r="D144" s="30"/>
      <c r="E144" s="16" t="str">
        <f aca="false">IF(B144="","",IFERROR(INDEX(Produtos!$C$5:$C$44,MATCH(B144,Produtos!$A$5:$A$44,0)),0))</f>
        <v/>
      </c>
      <c r="F144" s="16" t="str">
        <f aca="false">IF(B144="","",C144*E144)</f>
        <v/>
      </c>
      <c r="G144" s="16" t="str">
        <f aca="false">IF(B144="","",C144*IFERROR(INDEX(Produtos!$D$5:$D$44,MATCH(B144,Produtos!$A$5:$A$44,0)),0))</f>
        <v/>
      </c>
      <c r="H144" s="16" t="str">
        <f aca="false">IF(B144="","",F144*IFERROR(INDEX(Despesas!$B$5:$B$8,MATCH(D144,Despesas!$A$5:$A$8,0)),0))</f>
        <v/>
      </c>
      <c r="I144" s="16" t="str">
        <f aca="false">IF(B144="","",F144-G144-H144)</f>
        <v/>
      </c>
    </row>
    <row r="145" customFormat="false" ht="15" hidden="false" customHeight="false" outlineLevel="0" collapsed="false">
      <c r="A145" s="34"/>
      <c r="B145" s="30"/>
      <c r="C145" s="30"/>
      <c r="D145" s="30"/>
      <c r="E145" s="16" t="str">
        <f aca="false">IF(B145="","",IFERROR(INDEX(Produtos!$C$5:$C$44,MATCH(B145,Produtos!$A$5:$A$44,0)),0))</f>
        <v/>
      </c>
      <c r="F145" s="16" t="str">
        <f aca="false">IF(B145="","",C145*E145)</f>
        <v/>
      </c>
      <c r="G145" s="16" t="str">
        <f aca="false">IF(B145="","",C145*IFERROR(INDEX(Produtos!$D$5:$D$44,MATCH(B145,Produtos!$A$5:$A$44,0)),0))</f>
        <v/>
      </c>
      <c r="H145" s="16" t="str">
        <f aca="false">IF(B145="","",F145*IFERROR(INDEX(Despesas!$B$5:$B$8,MATCH(D145,Despesas!$A$5:$A$8,0)),0))</f>
        <v/>
      </c>
      <c r="I145" s="16" t="str">
        <f aca="false">IF(B145="","",F145-G145-H145)</f>
        <v/>
      </c>
    </row>
    <row r="146" customFormat="false" ht="15" hidden="false" customHeight="false" outlineLevel="0" collapsed="false">
      <c r="A146" s="34"/>
      <c r="B146" s="30"/>
      <c r="C146" s="30"/>
      <c r="D146" s="30"/>
      <c r="E146" s="16" t="str">
        <f aca="false">IF(B146="","",IFERROR(INDEX(Produtos!$C$5:$C$44,MATCH(B146,Produtos!$A$5:$A$44,0)),0))</f>
        <v/>
      </c>
      <c r="F146" s="16" t="str">
        <f aca="false">IF(B146="","",C146*E146)</f>
        <v/>
      </c>
      <c r="G146" s="16" t="str">
        <f aca="false">IF(B146="","",C146*IFERROR(INDEX(Produtos!$D$5:$D$44,MATCH(B146,Produtos!$A$5:$A$44,0)),0))</f>
        <v/>
      </c>
      <c r="H146" s="16" t="str">
        <f aca="false">IF(B146="","",F146*IFERROR(INDEX(Despesas!$B$5:$B$8,MATCH(D146,Despesas!$A$5:$A$8,0)),0))</f>
        <v/>
      </c>
      <c r="I146" s="16" t="str">
        <f aca="false">IF(B146="","",F146-G146-H146)</f>
        <v/>
      </c>
    </row>
    <row r="147" customFormat="false" ht="15" hidden="false" customHeight="false" outlineLevel="0" collapsed="false">
      <c r="A147" s="34"/>
      <c r="B147" s="30"/>
      <c r="C147" s="30"/>
      <c r="D147" s="30"/>
      <c r="E147" s="16" t="str">
        <f aca="false">IF(B147="","",IFERROR(INDEX(Produtos!$C$5:$C$44,MATCH(B147,Produtos!$A$5:$A$44,0)),0))</f>
        <v/>
      </c>
      <c r="F147" s="16" t="str">
        <f aca="false">IF(B147="","",C147*E147)</f>
        <v/>
      </c>
      <c r="G147" s="16" t="str">
        <f aca="false">IF(B147="","",C147*IFERROR(INDEX(Produtos!$D$5:$D$44,MATCH(B147,Produtos!$A$5:$A$44,0)),0))</f>
        <v/>
      </c>
      <c r="H147" s="16" t="str">
        <f aca="false">IF(B147="","",F147*IFERROR(INDEX(Despesas!$B$5:$B$8,MATCH(D147,Despesas!$A$5:$A$8,0)),0))</f>
        <v/>
      </c>
      <c r="I147" s="16" t="str">
        <f aca="false">IF(B147="","",F147-G147-H147)</f>
        <v/>
      </c>
    </row>
    <row r="148" customFormat="false" ht="15" hidden="false" customHeight="false" outlineLevel="0" collapsed="false">
      <c r="A148" s="34"/>
      <c r="B148" s="30"/>
      <c r="C148" s="30"/>
      <c r="D148" s="30"/>
      <c r="E148" s="16" t="str">
        <f aca="false">IF(B148="","",IFERROR(INDEX(Produtos!$C$5:$C$44,MATCH(B148,Produtos!$A$5:$A$44,0)),0))</f>
        <v/>
      </c>
      <c r="F148" s="16" t="str">
        <f aca="false">IF(B148="","",C148*E148)</f>
        <v/>
      </c>
      <c r="G148" s="16" t="str">
        <f aca="false">IF(B148="","",C148*IFERROR(INDEX(Produtos!$D$5:$D$44,MATCH(B148,Produtos!$A$5:$A$44,0)),0))</f>
        <v/>
      </c>
      <c r="H148" s="16" t="str">
        <f aca="false">IF(B148="","",F148*IFERROR(INDEX(Despesas!$B$5:$B$8,MATCH(D148,Despesas!$A$5:$A$8,0)),0))</f>
        <v/>
      </c>
      <c r="I148" s="16" t="str">
        <f aca="false">IF(B148="","",F148-G148-H148)</f>
        <v/>
      </c>
    </row>
    <row r="149" customFormat="false" ht="15" hidden="false" customHeight="false" outlineLevel="0" collapsed="false">
      <c r="A149" s="34"/>
      <c r="B149" s="30"/>
      <c r="C149" s="30"/>
      <c r="D149" s="30"/>
      <c r="E149" s="16" t="str">
        <f aca="false">IF(B149="","",IFERROR(INDEX(Produtos!$C$5:$C$44,MATCH(B149,Produtos!$A$5:$A$44,0)),0))</f>
        <v/>
      </c>
      <c r="F149" s="16" t="str">
        <f aca="false">IF(B149="","",C149*E149)</f>
        <v/>
      </c>
      <c r="G149" s="16" t="str">
        <f aca="false">IF(B149="","",C149*IFERROR(INDEX(Produtos!$D$5:$D$44,MATCH(B149,Produtos!$A$5:$A$44,0)),0))</f>
        <v/>
      </c>
      <c r="H149" s="16" t="str">
        <f aca="false">IF(B149="","",F149*IFERROR(INDEX(Despesas!$B$5:$B$8,MATCH(D149,Despesas!$A$5:$A$8,0)),0))</f>
        <v/>
      </c>
      <c r="I149" s="16" t="str">
        <f aca="false">IF(B149="","",F149-G149-H149)</f>
        <v/>
      </c>
    </row>
    <row r="150" customFormat="false" ht="15" hidden="false" customHeight="false" outlineLevel="0" collapsed="false">
      <c r="A150" s="34"/>
      <c r="B150" s="30"/>
      <c r="C150" s="30"/>
      <c r="D150" s="30"/>
      <c r="E150" s="16" t="str">
        <f aca="false">IF(B150="","",IFERROR(INDEX(Produtos!$C$5:$C$44,MATCH(B150,Produtos!$A$5:$A$44,0)),0))</f>
        <v/>
      </c>
      <c r="F150" s="16" t="str">
        <f aca="false">IF(B150="","",C150*E150)</f>
        <v/>
      </c>
      <c r="G150" s="16" t="str">
        <f aca="false">IF(B150="","",C150*IFERROR(INDEX(Produtos!$D$5:$D$44,MATCH(B150,Produtos!$A$5:$A$44,0)),0))</f>
        <v/>
      </c>
      <c r="H150" s="16" t="str">
        <f aca="false">IF(B150="","",F150*IFERROR(INDEX(Despesas!$B$5:$B$8,MATCH(D150,Despesas!$A$5:$A$8,0)),0))</f>
        <v/>
      </c>
      <c r="I150" s="16" t="str">
        <f aca="false">IF(B150="","",F150-G150-H150)</f>
        <v/>
      </c>
    </row>
    <row r="151" customFormat="false" ht="15" hidden="false" customHeight="false" outlineLevel="0" collapsed="false">
      <c r="A151" s="34"/>
      <c r="B151" s="30"/>
      <c r="C151" s="30"/>
      <c r="D151" s="30"/>
      <c r="E151" s="16" t="str">
        <f aca="false">IF(B151="","",IFERROR(INDEX(Produtos!$C$5:$C$44,MATCH(B151,Produtos!$A$5:$A$44,0)),0))</f>
        <v/>
      </c>
      <c r="F151" s="16" t="str">
        <f aca="false">IF(B151="","",C151*E151)</f>
        <v/>
      </c>
      <c r="G151" s="16" t="str">
        <f aca="false">IF(B151="","",C151*IFERROR(INDEX(Produtos!$D$5:$D$44,MATCH(B151,Produtos!$A$5:$A$44,0)),0))</f>
        <v/>
      </c>
      <c r="H151" s="16" t="str">
        <f aca="false">IF(B151="","",F151*IFERROR(INDEX(Despesas!$B$5:$B$8,MATCH(D151,Despesas!$A$5:$A$8,0)),0))</f>
        <v/>
      </c>
      <c r="I151" s="16" t="str">
        <f aca="false">IF(B151="","",F151-G151-H151)</f>
        <v/>
      </c>
    </row>
    <row r="152" customFormat="false" ht="15" hidden="false" customHeight="false" outlineLevel="0" collapsed="false">
      <c r="A152" s="34"/>
      <c r="B152" s="30"/>
      <c r="C152" s="30"/>
      <c r="D152" s="30"/>
      <c r="E152" s="16" t="str">
        <f aca="false">IF(B152="","",IFERROR(INDEX(Produtos!$C$5:$C$44,MATCH(B152,Produtos!$A$5:$A$44,0)),0))</f>
        <v/>
      </c>
      <c r="F152" s="16" t="str">
        <f aca="false">IF(B152="","",C152*E152)</f>
        <v/>
      </c>
      <c r="G152" s="16" t="str">
        <f aca="false">IF(B152="","",C152*IFERROR(INDEX(Produtos!$D$5:$D$44,MATCH(B152,Produtos!$A$5:$A$44,0)),0))</f>
        <v/>
      </c>
      <c r="H152" s="16" t="str">
        <f aca="false">IF(B152="","",F152*IFERROR(INDEX(Despesas!$B$5:$B$8,MATCH(D152,Despesas!$A$5:$A$8,0)),0))</f>
        <v/>
      </c>
      <c r="I152" s="16" t="str">
        <f aca="false">IF(B152="","",F152-G152-H152)</f>
        <v/>
      </c>
    </row>
    <row r="153" customFormat="false" ht="15" hidden="false" customHeight="false" outlineLevel="0" collapsed="false">
      <c r="A153" s="34"/>
      <c r="B153" s="30"/>
      <c r="C153" s="30"/>
      <c r="D153" s="30"/>
      <c r="E153" s="16" t="str">
        <f aca="false">IF(B153="","",IFERROR(INDEX(Produtos!$C$5:$C$44,MATCH(B153,Produtos!$A$5:$A$44,0)),0))</f>
        <v/>
      </c>
      <c r="F153" s="16" t="str">
        <f aca="false">IF(B153="","",C153*E153)</f>
        <v/>
      </c>
      <c r="G153" s="16" t="str">
        <f aca="false">IF(B153="","",C153*IFERROR(INDEX(Produtos!$D$5:$D$44,MATCH(B153,Produtos!$A$5:$A$44,0)),0))</f>
        <v/>
      </c>
      <c r="H153" s="16" t="str">
        <f aca="false">IF(B153="","",F153*IFERROR(INDEX(Despesas!$B$5:$B$8,MATCH(D153,Despesas!$A$5:$A$8,0)),0))</f>
        <v/>
      </c>
      <c r="I153" s="16" t="str">
        <f aca="false">IF(B153="","",F153-G153-H153)</f>
        <v/>
      </c>
    </row>
    <row r="154" customFormat="false" ht="15" hidden="false" customHeight="false" outlineLevel="0" collapsed="false">
      <c r="A154" s="34"/>
      <c r="B154" s="30"/>
      <c r="C154" s="30"/>
      <c r="D154" s="30"/>
      <c r="E154" s="16" t="str">
        <f aca="false">IF(B154="","",IFERROR(INDEX(Produtos!$C$5:$C$44,MATCH(B154,Produtos!$A$5:$A$44,0)),0))</f>
        <v/>
      </c>
      <c r="F154" s="16" t="str">
        <f aca="false">IF(B154="","",C154*E154)</f>
        <v/>
      </c>
      <c r="G154" s="16" t="str">
        <f aca="false">IF(B154="","",C154*IFERROR(INDEX(Produtos!$D$5:$D$44,MATCH(B154,Produtos!$A$5:$A$44,0)),0))</f>
        <v/>
      </c>
      <c r="H154" s="16" t="str">
        <f aca="false">IF(B154="","",F154*IFERROR(INDEX(Despesas!$B$5:$B$8,MATCH(D154,Despesas!$A$5:$A$8,0)),0))</f>
        <v/>
      </c>
      <c r="I154" s="16" t="str">
        <f aca="false">IF(B154="","",F154-G154-H154)</f>
        <v/>
      </c>
    </row>
    <row r="155" customFormat="false" ht="15" hidden="false" customHeight="false" outlineLevel="0" collapsed="false">
      <c r="A155" s="34"/>
      <c r="B155" s="30"/>
      <c r="C155" s="30"/>
      <c r="D155" s="30"/>
      <c r="E155" s="16" t="str">
        <f aca="false">IF(B155="","",IFERROR(INDEX(Produtos!$C$5:$C$44,MATCH(B155,Produtos!$A$5:$A$44,0)),0))</f>
        <v/>
      </c>
      <c r="F155" s="16" t="str">
        <f aca="false">IF(B155="","",C155*E155)</f>
        <v/>
      </c>
      <c r="G155" s="16" t="str">
        <f aca="false">IF(B155="","",C155*IFERROR(INDEX(Produtos!$D$5:$D$44,MATCH(B155,Produtos!$A$5:$A$44,0)),0))</f>
        <v/>
      </c>
      <c r="H155" s="16" t="str">
        <f aca="false">IF(B155="","",F155*IFERROR(INDEX(Despesas!$B$5:$B$8,MATCH(D155,Despesas!$A$5:$A$8,0)),0))</f>
        <v/>
      </c>
      <c r="I155" s="16" t="str">
        <f aca="false">IF(B155="","",F155-G155-H155)</f>
        <v/>
      </c>
    </row>
    <row r="156" customFormat="false" ht="15" hidden="false" customHeight="false" outlineLevel="0" collapsed="false">
      <c r="A156" s="34"/>
      <c r="B156" s="30"/>
      <c r="C156" s="30"/>
      <c r="D156" s="30"/>
      <c r="E156" s="16" t="str">
        <f aca="false">IF(B156="","",IFERROR(INDEX(Produtos!$C$5:$C$44,MATCH(B156,Produtos!$A$5:$A$44,0)),0))</f>
        <v/>
      </c>
      <c r="F156" s="16" t="str">
        <f aca="false">IF(B156="","",C156*E156)</f>
        <v/>
      </c>
      <c r="G156" s="16" t="str">
        <f aca="false">IF(B156="","",C156*IFERROR(INDEX(Produtos!$D$5:$D$44,MATCH(B156,Produtos!$A$5:$A$44,0)),0))</f>
        <v/>
      </c>
      <c r="H156" s="16" t="str">
        <f aca="false">IF(B156="","",F156*IFERROR(INDEX(Despesas!$B$5:$B$8,MATCH(D156,Despesas!$A$5:$A$8,0)),0))</f>
        <v/>
      </c>
      <c r="I156" s="16" t="str">
        <f aca="false">IF(B156="","",F156-G156-H156)</f>
        <v/>
      </c>
    </row>
    <row r="157" customFormat="false" ht="15" hidden="false" customHeight="false" outlineLevel="0" collapsed="false">
      <c r="A157" s="34"/>
      <c r="B157" s="30"/>
      <c r="C157" s="30"/>
      <c r="D157" s="30"/>
      <c r="E157" s="16" t="str">
        <f aca="false">IF(B157="","",IFERROR(INDEX(Produtos!$C$5:$C$44,MATCH(B157,Produtos!$A$5:$A$44,0)),0))</f>
        <v/>
      </c>
      <c r="F157" s="16" t="str">
        <f aca="false">IF(B157="","",C157*E157)</f>
        <v/>
      </c>
      <c r="G157" s="16" t="str">
        <f aca="false">IF(B157="","",C157*IFERROR(INDEX(Produtos!$D$5:$D$44,MATCH(B157,Produtos!$A$5:$A$44,0)),0))</f>
        <v/>
      </c>
      <c r="H157" s="16" t="str">
        <f aca="false">IF(B157="","",F157*IFERROR(INDEX(Despesas!$B$5:$B$8,MATCH(D157,Despesas!$A$5:$A$8,0)),0))</f>
        <v/>
      </c>
      <c r="I157" s="16" t="str">
        <f aca="false">IF(B157="","",F157-G157-H157)</f>
        <v/>
      </c>
    </row>
    <row r="158" customFormat="false" ht="15" hidden="false" customHeight="false" outlineLevel="0" collapsed="false">
      <c r="A158" s="34"/>
      <c r="B158" s="30"/>
      <c r="C158" s="30"/>
      <c r="D158" s="30"/>
      <c r="E158" s="16" t="str">
        <f aca="false">IF(B158="","",IFERROR(INDEX(Produtos!$C$5:$C$44,MATCH(B158,Produtos!$A$5:$A$44,0)),0))</f>
        <v/>
      </c>
      <c r="F158" s="16" t="str">
        <f aca="false">IF(B158="","",C158*E158)</f>
        <v/>
      </c>
      <c r="G158" s="16" t="str">
        <f aca="false">IF(B158="","",C158*IFERROR(INDEX(Produtos!$D$5:$D$44,MATCH(B158,Produtos!$A$5:$A$44,0)),0))</f>
        <v/>
      </c>
      <c r="H158" s="16" t="str">
        <f aca="false">IF(B158="","",F158*IFERROR(INDEX(Despesas!$B$5:$B$8,MATCH(D158,Despesas!$A$5:$A$8,0)),0))</f>
        <v/>
      </c>
      <c r="I158" s="16" t="str">
        <f aca="false">IF(B158="","",F158-G158-H158)</f>
        <v/>
      </c>
    </row>
    <row r="159" customFormat="false" ht="15" hidden="false" customHeight="false" outlineLevel="0" collapsed="false">
      <c r="A159" s="34"/>
      <c r="B159" s="30"/>
      <c r="C159" s="30"/>
      <c r="D159" s="30"/>
      <c r="E159" s="16" t="str">
        <f aca="false">IF(B159="","",IFERROR(INDEX(Produtos!$C$5:$C$44,MATCH(B159,Produtos!$A$5:$A$44,0)),0))</f>
        <v/>
      </c>
      <c r="F159" s="16" t="str">
        <f aca="false">IF(B159="","",C159*E159)</f>
        <v/>
      </c>
      <c r="G159" s="16" t="str">
        <f aca="false">IF(B159="","",C159*IFERROR(INDEX(Produtos!$D$5:$D$44,MATCH(B159,Produtos!$A$5:$A$44,0)),0))</f>
        <v/>
      </c>
      <c r="H159" s="16" t="str">
        <f aca="false">IF(B159="","",F159*IFERROR(INDEX(Despesas!$B$5:$B$8,MATCH(D159,Despesas!$A$5:$A$8,0)),0))</f>
        <v/>
      </c>
      <c r="I159" s="16" t="str">
        <f aca="false">IF(B159="","",F159-G159-H159)</f>
        <v/>
      </c>
    </row>
    <row r="160" customFormat="false" ht="15" hidden="false" customHeight="false" outlineLevel="0" collapsed="false">
      <c r="A160" s="34"/>
      <c r="B160" s="30"/>
      <c r="C160" s="30"/>
      <c r="D160" s="30"/>
      <c r="E160" s="16" t="str">
        <f aca="false">IF(B160="","",IFERROR(INDEX(Produtos!$C$5:$C$44,MATCH(B160,Produtos!$A$5:$A$44,0)),0))</f>
        <v/>
      </c>
      <c r="F160" s="16" t="str">
        <f aca="false">IF(B160="","",C160*E160)</f>
        <v/>
      </c>
      <c r="G160" s="16" t="str">
        <f aca="false">IF(B160="","",C160*IFERROR(INDEX(Produtos!$D$5:$D$44,MATCH(B160,Produtos!$A$5:$A$44,0)),0))</f>
        <v/>
      </c>
      <c r="H160" s="16" t="str">
        <f aca="false">IF(B160="","",F160*IFERROR(INDEX(Despesas!$B$5:$B$8,MATCH(D160,Despesas!$A$5:$A$8,0)),0))</f>
        <v/>
      </c>
      <c r="I160" s="16" t="str">
        <f aca="false">IF(B160="","",F160-G160-H160)</f>
        <v/>
      </c>
    </row>
    <row r="161" customFormat="false" ht="15" hidden="false" customHeight="false" outlineLevel="0" collapsed="false">
      <c r="A161" s="34"/>
      <c r="B161" s="30"/>
      <c r="C161" s="30"/>
      <c r="D161" s="30"/>
      <c r="E161" s="16" t="str">
        <f aca="false">IF(B161="","",IFERROR(INDEX(Produtos!$C$5:$C$44,MATCH(B161,Produtos!$A$5:$A$44,0)),0))</f>
        <v/>
      </c>
      <c r="F161" s="16" t="str">
        <f aca="false">IF(B161="","",C161*E161)</f>
        <v/>
      </c>
      <c r="G161" s="16" t="str">
        <f aca="false">IF(B161="","",C161*IFERROR(INDEX(Produtos!$D$5:$D$44,MATCH(B161,Produtos!$A$5:$A$44,0)),0))</f>
        <v/>
      </c>
      <c r="H161" s="16" t="str">
        <f aca="false">IF(B161="","",F161*IFERROR(INDEX(Despesas!$B$5:$B$8,MATCH(D161,Despesas!$A$5:$A$8,0)),0))</f>
        <v/>
      </c>
      <c r="I161" s="16" t="str">
        <f aca="false">IF(B161="","",F161-G161-H161)</f>
        <v/>
      </c>
    </row>
    <row r="162" customFormat="false" ht="15" hidden="false" customHeight="false" outlineLevel="0" collapsed="false">
      <c r="A162" s="34"/>
      <c r="B162" s="30"/>
      <c r="C162" s="30"/>
      <c r="D162" s="30"/>
      <c r="E162" s="16" t="str">
        <f aca="false">IF(B162="","",IFERROR(INDEX(Produtos!$C$5:$C$44,MATCH(B162,Produtos!$A$5:$A$44,0)),0))</f>
        <v/>
      </c>
      <c r="F162" s="16" t="str">
        <f aca="false">IF(B162="","",C162*E162)</f>
        <v/>
      </c>
      <c r="G162" s="16" t="str">
        <f aca="false">IF(B162="","",C162*IFERROR(INDEX(Produtos!$D$5:$D$44,MATCH(B162,Produtos!$A$5:$A$44,0)),0))</f>
        <v/>
      </c>
      <c r="H162" s="16" t="str">
        <f aca="false">IF(B162="","",F162*IFERROR(INDEX(Despesas!$B$5:$B$8,MATCH(D162,Despesas!$A$5:$A$8,0)),0))</f>
        <v/>
      </c>
      <c r="I162" s="16" t="str">
        <f aca="false">IF(B162="","",F162-G162-H162)</f>
        <v/>
      </c>
    </row>
    <row r="163" customFormat="false" ht="15" hidden="false" customHeight="false" outlineLevel="0" collapsed="false">
      <c r="A163" s="34"/>
      <c r="B163" s="30"/>
      <c r="C163" s="30"/>
      <c r="D163" s="30"/>
      <c r="E163" s="16" t="str">
        <f aca="false">IF(B163="","",IFERROR(INDEX(Produtos!$C$5:$C$44,MATCH(B163,Produtos!$A$5:$A$44,0)),0))</f>
        <v/>
      </c>
      <c r="F163" s="16" t="str">
        <f aca="false">IF(B163="","",C163*E163)</f>
        <v/>
      </c>
      <c r="G163" s="16" t="str">
        <f aca="false">IF(B163="","",C163*IFERROR(INDEX(Produtos!$D$5:$D$44,MATCH(B163,Produtos!$A$5:$A$44,0)),0))</f>
        <v/>
      </c>
      <c r="H163" s="16" t="str">
        <f aca="false">IF(B163="","",F163*IFERROR(INDEX(Despesas!$B$5:$B$8,MATCH(D163,Despesas!$A$5:$A$8,0)),0))</f>
        <v/>
      </c>
      <c r="I163" s="16" t="str">
        <f aca="false">IF(B163="","",F163-G163-H163)</f>
        <v/>
      </c>
    </row>
    <row r="164" customFormat="false" ht="15" hidden="false" customHeight="false" outlineLevel="0" collapsed="false">
      <c r="A164" s="34"/>
      <c r="B164" s="30"/>
      <c r="C164" s="30"/>
      <c r="D164" s="30"/>
      <c r="E164" s="16" t="str">
        <f aca="false">IF(B164="","",IFERROR(INDEX(Produtos!$C$5:$C$44,MATCH(B164,Produtos!$A$5:$A$44,0)),0))</f>
        <v/>
      </c>
      <c r="F164" s="16" t="str">
        <f aca="false">IF(B164="","",C164*E164)</f>
        <v/>
      </c>
      <c r="G164" s="16" t="str">
        <f aca="false">IF(B164="","",C164*IFERROR(INDEX(Produtos!$D$5:$D$44,MATCH(B164,Produtos!$A$5:$A$44,0)),0))</f>
        <v/>
      </c>
      <c r="H164" s="16" t="str">
        <f aca="false">IF(B164="","",F164*IFERROR(INDEX(Despesas!$B$5:$B$8,MATCH(D164,Despesas!$A$5:$A$8,0)),0))</f>
        <v/>
      </c>
      <c r="I164" s="16" t="str">
        <f aca="false">IF(B164="","",F164-G164-H164)</f>
        <v/>
      </c>
    </row>
    <row r="165" customFormat="false" ht="15" hidden="false" customHeight="false" outlineLevel="0" collapsed="false">
      <c r="A165" s="34"/>
      <c r="B165" s="30"/>
      <c r="C165" s="30"/>
      <c r="D165" s="30"/>
      <c r="E165" s="16" t="str">
        <f aca="false">IF(B165="","",IFERROR(INDEX(Produtos!$C$5:$C$44,MATCH(B165,Produtos!$A$5:$A$44,0)),0))</f>
        <v/>
      </c>
      <c r="F165" s="16" t="str">
        <f aca="false">IF(B165="","",C165*E165)</f>
        <v/>
      </c>
      <c r="G165" s="16" t="str">
        <f aca="false">IF(B165="","",C165*IFERROR(INDEX(Produtos!$D$5:$D$44,MATCH(B165,Produtos!$A$5:$A$44,0)),0))</f>
        <v/>
      </c>
      <c r="H165" s="16" t="str">
        <f aca="false">IF(B165="","",F165*IFERROR(INDEX(Despesas!$B$5:$B$8,MATCH(D165,Despesas!$A$5:$A$8,0)),0))</f>
        <v/>
      </c>
      <c r="I165" s="16" t="str">
        <f aca="false">IF(B165="","",F165-G165-H165)</f>
        <v/>
      </c>
    </row>
    <row r="166" customFormat="false" ht="15" hidden="false" customHeight="false" outlineLevel="0" collapsed="false">
      <c r="A166" s="34"/>
      <c r="B166" s="30"/>
      <c r="C166" s="30"/>
      <c r="D166" s="30"/>
      <c r="E166" s="16" t="str">
        <f aca="false">IF(B166="","",IFERROR(INDEX(Produtos!$C$5:$C$44,MATCH(B166,Produtos!$A$5:$A$44,0)),0))</f>
        <v/>
      </c>
      <c r="F166" s="16" t="str">
        <f aca="false">IF(B166="","",C166*E166)</f>
        <v/>
      </c>
      <c r="G166" s="16" t="str">
        <f aca="false">IF(B166="","",C166*IFERROR(INDEX(Produtos!$D$5:$D$44,MATCH(B166,Produtos!$A$5:$A$44,0)),0))</f>
        <v/>
      </c>
      <c r="H166" s="16" t="str">
        <f aca="false">IF(B166="","",F166*IFERROR(INDEX(Despesas!$B$5:$B$8,MATCH(D166,Despesas!$A$5:$A$8,0)),0))</f>
        <v/>
      </c>
      <c r="I166" s="16" t="str">
        <f aca="false">IF(B166="","",F166-G166-H166)</f>
        <v/>
      </c>
    </row>
    <row r="167" customFormat="false" ht="15" hidden="false" customHeight="false" outlineLevel="0" collapsed="false">
      <c r="A167" s="34"/>
      <c r="B167" s="30"/>
      <c r="C167" s="30"/>
      <c r="D167" s="30"/>
      <c r="E167" s="16" t="str">
        <f aca="false">IF(B167="","",IFERROR(INDEX(Produtos!$C$5:$C$44,MATCH(B167,Produtos!$A$5:$A$44,0)),0))</f>
        <v/>
      </c>
      <c r="F167" s="16" t="str">
        <f aca="false">IF(B167="","",C167*E167)</f>
        <v/>
      </c>
      <c r="G167" s="16" t="str">
        <f aca="false">IF(B167="","",C167*IFERROR(INDEX(Produtos!$D$5:$D$44,MATCH(B167,Produtos!$A$5:$A$44,0)),0))</f>
        <v/>
      </c>
      <c r="H167" s="16" t="str">
        <f aca="false">IF(B167="","",F167*IFERROR(INDEX(Despesas!$B$5:$B$8,MATCH(D167,Despesas!$A$5:$A$8,0)),0))</f>
        <v/>
      </c>
      <c r="I167" s="16" t="str">
        <f aca="false">IF(B167="","",F167-G167-H167)</f>
        <v/>
      </c>
    </row>
    <row r="168" customFormat="false" ht="15" hidden="false" customHeight="false" outlineLevel="0" collapsed="false">
      <c r="A168" s="34"/>
      <c r="B168" s="30"/>
      <c r="C168" s="30"/>
      <c r="D168" s="30"/>
      <c r="E168" s="16" t="str">
        <f aca="false">IF(B168="","",IFERROR(INDEX(Produtos!$C$5:$C$44,MATCH(B168,Produtos!$A$5:$A$44,0)),0))</f>
        <v/>
      </c>
      <c r="F168" s="16" t="str">
        <f aca="false">IF(B168="","",C168*E168)</f>
        <v/>
      </c>
      <c r="G168" s="16" t="str">
        <f aca="false">IF(B168="","",C168*IFERROR(INDEX(Produtos!$D$5:$D$44,MATCH(B168,Produtos!$A$5:$A$44,0)),0))</f>
        <v/>
      </c>
      <c r="H168" s="16" t="str">
        <f aca="false">IF(B168="","",F168*IFERROR(INDEX(Despesas!$B$5:$B$8,MATCH(D168,Despesas!$A$5:$A$8,0)),0))</f>
        <v/>
      </c>
      <c r="I168" s="16" t="str">
        <f aca="false">IF(B168="","",F168-G168-H168)</f>
        <v/>
      </c>
    </row>
    <row r="169" customFormat="false" ht="15" hidden="false" customHeight="false" outlineLevel="0" collapsed="false">
      <c r="A169" s="34"/>
      <c r="B169" s="30"/>
      <c r="C169" s="30"/>
      <c r="D169" s="30"/>
      <c r="E169" s="16" t="str">
        <f aca="false">IF(B169="","",IFERROR(INDEX(Produtos!$C$5:$C$44,MATCH(B169,Produtos!$A$5:$A$44,0)),0))</f>
        <v/>
      </c>
      <c r="F169" s="16" t="str">
        <f aca="false">IF(B169="","",C169*E169)</f>
        <v/>
      </c>
      <c r="G169" s="16" t="str">
        <f aca="false">IF(B169="","",C169*IFERROR(INDEX(Produtos!$D$5:$D$44,MATCH(B169,Produtos!$A$5:$A$44,0)),0))</f>
        <v/>
      </c>
      <c r="H169" s="16" t="str">
        <f aca="false">IF(B169="","",F169*IFERROR(INDEX(Despesas!$B$5:$B$8,MATCH(D169,Despesas!$A$5:$A$8,0)),0))</f>
        <v/>
      </c>
      <c r="I169" s="16" t="str">
        <f aca="false">IF(B169="","",F169-G169-H169)</f>
        <v/>
      </c>
    </row>
    <row r="170" customFormat="false" ht="15" hidden="false" customHeight="false" outlineLevel="0" collapsed="false">
      <c r="A170" s="34"/>
      <c r="B170" s="30"/>
      <c r="C170" s="30"/>
      <c r="D170" s="30"/>
      <c r="E170" s="16" t="str">
        <f aca="false">IF(B170="","",IFERROR(INDEX(Produtos!$C$5:$C$44,MATCH(B170,Produtos!$A$5:$A$44,0)),0))</f>
        <v/>
      </c>
      <c r="F170" s="16" t="str">
        <f aca="false">IF(B170="","",C170*E170)</f>
        <v/>
      </c>
      <c r="G170" s="16" t="str">
        <f aca="false">IF(B170="","",C170*IFERROR(INDEX(Produtos!$D$5:$D$44,MATCH(B170,Produtos!$A$5:$A$44,0)),0))</f>
        <v/>
      </c>
      <c r="H170" s="16" t="str">
        <f aca="false">IF(B170="","",F170*IFERROR(INDEX(Despesas!$B$5:$B$8,MATCH(D170,Despesas!$A$5:$A$8,0)),0))</f>
        <v/>
      </c>
      <c r="I170" s="16" t="str">
        <f aca="false">IF(B170="","",F170-G170-H170)</f>
        <v/>
      </c>
    </row>
    <row r="171" customFormat="false" ht="15" hidden="false" customHeight="false" outlineLevel="0" collapsed="false">
      <c r="A171" s="34"/>
      <c r="B171" s="30"/>
      <c r="C171" s="30"/>
      <c r="D171" s="30"/>
      <c r="E171" s="16" t="str">
        <f aca="false">IF(B171="","",IFERROR(INDEX(Produtos!$C$5:$C$44,MATCH(B171,Produtos!$A$5:$A$44,0)),0))</f>
        <v/>
      </c>
      <c r="F171" s="16" t="str">
        <f aca="false">IF(B171="","",C171*E171)</f>
        <v/>
      </c>
      <c r="G171" s="16" t="str">
        <f aca="false">IF(B171="","",C171*IFERROR(INDEX(Produtos!$D$5:$D$44,MATCH(B171,Produtos!$A$5:$A$44,0)),0))</f>
        <v/>
      </c>
      <c r="H171" s="16" t="str">
        <f aca="false">IF(B171="","",F171*IFERROR(INDEX(Despesas!$B$5:$B$8,MATCH(D171,Despesas!$A$5:$A$8,0)),0))</f>
        <v/>
      </c>
      <c r="I171" s="16" t="str">
        <f aca="false">IF(B171="","",F171-G171-H171)</f>
        <v/>
      </c>
    </row>
    <row r="172" customFormat="false" ht="15" hidden="false" customHeight="false" outlineLevel="0" collapsed="false">
      <c r="A172" s="34"/>
      <c r="B172" s="30"/>
      <c r="C172" s="30"/>
      <c r="D172" s="30"/>
      <c r="E172" s="16" t="str">
        <f aca="false">IF(B172="","",IFERROR(INDEX(Produtos!$C$5:$C$44,MATCH(B172,Produtos!$A$5:$A$44,0)),0))</f>
        <v/>
      </c>
      <c r="F172" s="16" t="str">
        <f aca="false">IF(B172="","",C172*E172)</f>
        <v/>
      </c>
      <c r="G172" s="16" t="str">
        <f aca="false">IF(B172="","",C172*IFERROR(INDEX(Produtos!$D$5:$D$44,MATCH(B172,Produtos!$A$5:$A$44,0)),0))</f>
        <v/>
      </c>
      <c r="H172" s="16" t="str">
        <f aca="false">IF(B172="","",F172*IFERROR(INDEX(Despesas!$B$5:$B$8,MATCH(D172,Despesas!$A$5:$A$8,0)),0))</f>
        <v/>
      </c>
      <c r="I172" s="16" t="str">
        <f aca="false">IF(B172="","",F172-G172-H172)</f>
        <v/>
      </c>
    </row>
    <row r="173" customFormat="false" ht="15" hidden="false" customHeight="false" outlineLevel="0" collapsed="false">
      <c r="A173" s="34"/>
      <c r="B173" s="30"/>
      <c r="C173" s="30"/>
      <c r="D173" s="30"/>
      <c r="E173" s="16" t="str">
        <f aca="false">IF(B173="","",IFERROR(INDEX(Produtos!$C$5:$C$44,MATCH(B173,Produtos!$A$5:$A$44,0)),0))</f>
        <v/>
      </c>
      <c r="F173" s="16" t="str">
        <f aca="false">IF(B173="","",C173*E173)</f>
        <v/>
      </c>
      <c r="G173" s="16" t="str">
        <f aca="false">IF(B173="","",C173*IFERROR(INDEX(Produtos!$D$5:$D$44,MATCH(B173,Produtos!$A$5:$A$44,0)),0))</f>
        <v/>
      </c>
      <c r="H173" s="16" t="str">
        <f aca="false">IF(B173="","",F173*IFERROR(INDEX(Despesas!$B$5:$B$8,MATCH(D173,Despesas!$A$5:$A$8,0)),0))</f>
        <v/>
      </c>
      <c r="I173" s="16" t="str">
        <f aca="false">IF(B173="","",F173-G173-H173)</f>
        <v/>
      </c>
    </row>
    <row r="174" customFormat="false" ht="15" hidden="false" customHeight="false" outlineLevel="0" collapsed="false">
      <c r="A174" s="34"/>
      <c r="B174" s="30"/>
      <c r="C174" s="30"/>
      <c r="D174" s="30"/>
      <c r="E174" s="16" t="str">
        <f aca="false">IF(B174="","",IFERROR(INDEX(Produtos!$C$5:$C$44,MATCH(B174,Produtos!$A$5:$A$44,0)),0))</f>
        <v/>
      </c>
      <c r="F174" s="16" t="str">
        <f aca="false">IF(B174="","",C174*E174)</f>
        <v/>
      </c>
      <c r="G174" s="16" t="str">
        <f aca="false">IF(B174="","",C174*IFERROR(INDEX(Produtos!$D$5:$D$44,MATCH(B174,Produtos!$A$5:$A$44,0)),0))</f>
        <v/>
      </c>
      <c r="H174" s="16" t="str">
        <f aca="false">IF(B174="","",F174*IFERROR(INDEX(Despesas!$B$5:$B$8,MATCH(D174,Despesas!$A$5:$A$8,0)),0))</f>
        <v/>
      </c>
      <c r="I174" s="16" t="str">
        <f aca="false">IF(B174="","",F174-G174-H174)</f>
        <v/>
      </c>
    </row>
    <row r="175" customFormat="false" ht="15" hidden="false" customHeight="false" outlineLevel="0" collapsed="false">
      <c r="A175" s="34"/>
      <c r="B175" s="30"/>
      <c r="C175" s="30"/>
      <c r="D175" s="30"/>
      <c r="E175" s="16" t="str">
        <f aca="false">IF(B175="","",IFERROR(INDEX(Produtos!$C$5:$C$44,MATCH(B175,Produtos!$A$5:$A$44,0)),0))</f>
        <v/>
      </c>
      <c r="F175" s="16" t="str">
        <f aca="false">IF(B175="","",C175*E175)</f>
        <v/>
      </c>
      <c r="G175" s="16" t="str">
        <f aca="false">IF(B175="","",C175*IFERROR(INDEX(Produtos!$D$5:$D$44,MATCH(B175,Produtos!$A$5:$A$44,0)),0))</f>
        <v/>
      </c>
      <c r="H175" s="16" t="str">
        <f aca="false">IF(B175="","",F175*IFERROR(INDEX(Despesas!$B$5:$B$8,MATCH(D175,Despesas!$A$5:$A$8,0)),0))</f>
        <v/>
      </c>
      <c r="I175" s="16" t="str">
        <f aca="false">IF(B175="","",F175-G175-H175)</f>
        <v/>
      </c>
    </row>
    <row r="176" customFormat="false" ht="15" hidden="false" customHeight="false" outlineLevel="0" collapsed="false">
      <c r="A176" s="34"/>
      <c r="B176" s="30"/>
      <c r="C176" s="30"/>
      <c r="D176" s="30"/>
      <c r="E176" s="16" t="str">
        <f aca="false">IF(B176="","",IFERROR(INDEX(Produtos!$C$5:$C$44,MATCH(B176,Produtos!$A$5:$A$44,0)),0))</f>
        <v/>
      </c>
      <c r="F176" s="16" t="str">
        <f aca="false">IF(B176="","",C176*E176)</f>
        <v/>
      </c>
      <c r="G176" s="16" t="str">
        <f aca="false">IF(B176="","",C176*IFERROR(INDEX(Produtos!$D$5:$D$44,MATCH(B176,Produtos!$A$5:$A$44,0)),0))</f>
        <v/>
      </c>
      <c r="H176" s="16" t="str">
        <f aca="false">IF(B176="","",F176*IFERROR(INDEX(Despesas!$B$5:$B$8,MATCH(D176,Despesas!$A$5:$A$8,0)),0))</f>
        <v/>
      </c>
      <c r="I176" s="16" t="str">
        <f aca="false">IF(B176="","",F176-G176-H176)</f>
        <v/>
      </c>
    </row>
    <row r="177" customFormat="false" ht="15" hidden="false" customHeight="false" outlineLevel="0" collapsed="false">
      <c r="A177" s="34"/>
      <c r="B177" s="30"/>
      <c r="C177" s="30"/>
      <c r="D177" s="30"/>
      <c r="E177" s="16" t="str">
        <f aca="false">IF(B177="","",IFERROR(INDEX(Produtos!$C$5:$C$44,MATCH(B177,Produtos!$A$5:$A$44,0)),0))</f>
        <v/>
      </c>
      <c r="F177" s="16" t="str">
        <f aca="false">IF(B177="","",C177*E177)</f>
        <v/>
      </c>
      <c r="G177" s="16" t="str">
        <f aca="false">IF(B177="","",C177*IFERROR(INDEX(Produtos!$D$5:$D$44,MATCH(B177,Produtos!$A$5:$A$44,0)),0))</f>
        <v/>
      </c>
      <c r="H177" s="16" t="str">
        <f aca="false">IF(B177="","",F177*IFERROR(INDEX(Despesas!$B$5:$B$8,MATCH(D177,Despesas!$A$5:$A$8,0)),0))</f>
        <v/>
      </c>
      <c r="I177" s="16" t="str">
        <f aca="false">IF(B177="","",F177-G177-H177)</f>
        <v/>
      </c>
    </row>
    <row r="178" customFormat="false" ht="15" hidden="false" customHeight="false" outlineLevel="0" collapsed="false">
      <c r="A178" s="34"/>
      <c r="B178" s="30"/>
      <c r="C178" s="30"/>
      <c r="D178" s="30"/>
      <c r="E178" s="16" t="str">
        <f aca="false">IF(B178="","",IFERROR(INDEX(Produtos!$C$5:$C$44,MATCH(B178,Produtos!$A$5:$A$44,0)),0))</f>
        <v/>
      </c>
      <c r="F178" s="16" t="str">
        <f aca="false">IF(B178="","",C178*E178)</f>
        <v/>
      </c>
      <c r="G178" s="16" t="str">
        <f aca="false">IF(B178="","",C178*IFERROR(INDEX(Produtos!$D$5:$D$44,MATCH(B178,Produtos!$A$5:$A$44,0)),0))</f>
        <v/>
      </c>
      <c r="H178" s="16" t="str">
        <f aca="false">IF(B178="","",F178*IFERROR(INDEX(Despesas!$B$5:$B$8,MATCH(D178,Despesas!$A$5:$A$8,0)),0))</f>
        <v/>
      </c>
      <c r="I178" s="16" t="str">
        <f aca="false">IF(B178="","",F178-G178-H178)</f>
        <v/>
      </c>
    </row>
    <row r="179" customFormat="false" ht="15" hidden="false" customHeight="false" outlineLevel="0" collapsed="false">
      <c r="A179" s="34"/>
      <c r="B179" s="30"/>
      <c r="C179" s="30"/>
      <c r="D179" s="30"/>
      <c r="E179" s="16" t="str">
        <f aca="false">IF(B179="","",IFERROR(INDEX(Produtos!$C$5:$C$44,MATCH(B179,Produtos!$A$5:$A$44,0)),0))</f>
        <v/>
      </c>
      <c r="F179" s="16" t="str">
        <f aca="false">IF(B179="","",C179*E179)</f>
        <v/>
      </c>
      <c r="G179" s="16" t="str">
        <f aca="false">IF(B179="","",C179*IFERROR(INDEX(Produtos!$D$5:$D$44,MATCH(B179,Produtos!$A$5:$A$44,0)),0))</f>
        <v/>
      </c>
      <c r="H179" s="16" t="str">
        <f aca="false">IF(B179="","",F179*IFERROR(INDEX(Despesas!$B$5:$B$8,MATCH(D179,Despesas!$A$5:$A$8,0)),0))</f>
        <v/>
      </c>
      <c r="I179" s="16" t="str">
        <f aca="false">IF(B179="","",F179-G179-H179)</f>
        <v/>
      </c>
    </row>
    <row r="180" customFormat="false" ht="15" hidden="false" customHeight="false" outlineLevel="0" collapsed="false">
      <c r="A180" s="34"/>
      <c r="B180" s="30"/>
      <c r="C180" s="30"/>
      <c r="D180" s="30"/>
      <c r="E180" s="16" t="str">
        <f aca="false">IF(B180="","",IFERROR(INDEX(Produtos!$C$5:$C$44,MATCH(B180,Produtos!$A$5:$A$44,0)),0))</f>
        <v/>
      </c>
      <c r="F180" s="16" t="str">
        <f aca="false">IF(B180="","",C180*E180)</f>
        <v/>
      </c>
      <c r="G180" s="16" t="str">
        <f aca="false">IF(B180="","",C180*IFERROR(INDEX(Produtos!$D$5:$D$44,MATCH(B180,Produtos!$A$5:$A$44,0)),0))</f>
        <v/>
      </c>
      <c r="H180" s="16" t="str">
        <f aca="false">IF(B180="","",F180*IFERROR(INDEX(Despesas!$B$5:$B$8,MATCH(D180,Despesas!$A$5:$A$8,0)),0))</f>
        <v/>
      </c>
      <c r="I180" s="16" t="str">
        <f aca="false">IF(B180="","",F180-G180-H180)</f>
        <v/>
      </c>
    </row>
    <row r="181" customFormat="false" ht="15" hidden="false" customHeight="false" outlineLevel="0" collapsed="false">
      <c r="A181" s="34"/>
      <c r="B181" s="30"/>
      <c r="C181" s="30"/>
      <c r="D181" s="30"/>
      <c r="E181" s="16" t="str">
        <f aca="false">IF(B181="","",IFERROR(INDEX(Produtos!$C$5:$C$44,MATCH(B181,Produtos!$A$5:$A$44,0)),0))</f>
        <v/>
      </c>
      <c r="F181" s="16" t="str">
        <f aca="false">IF(B181="","",C181*E181)</f>
        <v/>
      </c>
      <c r="G181" s="16" t="str">
        <f aca="false">IF(B181="","",C181*IFERROR(INDEX(Produtos!$D$5:$D$44,MATCH(B181,Produtos!$A$5:$A$44,0)),0))</f>
        <v/>
      </c>
      <c r="H181" s="16" t="str">
        <f aca="false">IF(B181="","",F181*IFERROR(INDEX(Despesas!$B$5:$B$8,MATCH(D181,Despesas!$A$5:$A$8,0)),0))</f>
        <v/>
      </c>
      <c r="I181" s="16" t="str">
        <f aca="false">IF(B181="","",F181-G181-H181)</f>
        <v/>
      </c>
    </row>
    <row r="182" customFormat="false" ht="15" hidden="false" customHeight="false" outlineLevel="0" collapsed="false">
      <c r="A182" s="34"/>
      <c r="B182" s="30"/>
      <c r="C182" s="30"/>
      <c r="D182" s="30"/>
      <c r="E182" s="16" t="str">
        <f aca="false">IF(B182="","",IFERROR(INDEX(Produtos!$C$5:$C$44,MATCH(B182,Produtos!$A$5:$A$44,0)),0))</f>
        <v/>
      </c>
      <c r="F182" s="16" t="str">
        <f aca="false">IF(B182="","",C182*E182)</f>
        <v/>
      </c>
      <c r="G182" s="16" t="str">
        <f aca="false">IF(B182="","",C182*IFERROR(INDEX(Produtos!$D$5:$D$44,MATCH(B182,Produtos!$A$5:$A$44,0)),0))</f>
        <v/>
      </c>
      <c r="H182" s="16" t="str">
        <f aca="false">IF(B182="","",F182*IFERROR(INDEX(Despesas!$B$5:$B$8,MATCH(D182,Despesas!$A$5:$A$8,0)),0))</f>
        <v/>
      </c>
      <c r="I182" s="16" t="str">
        <f aca="false">IF(B182="","",F182-G182-H182)</f>
        <v/>
      </c>
    </row>
    <row r="183" customFormat="false" ht="15" hidden="false" customHeight="false" outlineLevel="0" collapsed="false">
      <c r="A183" s="34"/>
      <c r="B183" s="30"/>
      <c r="C183" s="30"/>
      <c r="D183" s="30"/>
      <c r="E183" s="16" t="str">
        <f aca="false">IF(B183="","",IFERROR(INDEX(Produtos!$C$5:$C$44,MATCH(B183,Produtos!$A$5:$A$44,0)),0))</f>
        <v/>
      </c>
      <c r="F183" s="16" t="str">
        <f aca="false">IF(B183="","",C183*E183)</f>
        <v/>
      </c>
      <c r="G183" s="16" t="str">
        <f aca="false">IF(B183="","",C183*IFERROR(INDEX(Produtos!$D$5:$D$44,MATCH(B183,Produtos!$A$5:$A$44,0)),0))</f>
        <v/>
      </c>
      <c r="H183" s="16" t="str">
        <f aca="false">IF(B183="","",F183*IFERROR(INDEX(Despesas!$B$5:$B$8,MATCH(D183,Despesas!$A$5:$A$8,0)),0))</f>
        <v/>
      </c>
      <c r="I183" s="16" t="str">
        <f aca="false">IF(B183="","",F183-G183-H183)</f>
        <v/>
      </c>
    </row>
    <row r="184" customFormat="false" ht="15" hidden="false" customHeight="false" outlineLevel="0" collapsed="false">
      <c r="A184" s="34"/>
      <c r="B184" s="30"/>
      <c r="C184" s="30"/>
      <c r="D184" s="30"/>
      <c r="E184" s="16" t="str">
        <f aca="false">IF(B184="","",IFERROR(INDEX(Produtos!$C$5:$C$44,MATCH(B184,Produtos!$A$5:$A$44,0)),0))</f>
        <v/>
      </c>
      <c r="F184" s="16" t="str">
        <f aca="false">IF(B184="","",C184*E184)</f>
        <v/>
      </c>
      <c r="G184" s="16" t="str">
        <f aca="false">IF(B184="","",C184*IFERROR(INDEX(Produtos!$D$5:$D$44,MATCH(B184,Produtos!$A$5:$A$44,0)),0))</f>
        <v/>
      </c>
      <c r="H184" s="16" t="str">
        <f aca="false">IF(B184="","",F184*IFERROR(INDEX(Despesas!$B$5:$B$8,MATCH(D184,Despesas!$A$5:$A$8,0)),0))</f>
        <v/>
      </c>
      <c r="I184" s="16" t="str">
        <f aca="false">IF(B184="","",F184-G184-H184)</f>
        <v/>
      </c>
    </row>
    <row r="185" customFormat="false" ht="15" hidden="false" customHeight="false" outlineLevel="0" collapsed="false">
      <c r="A185" s="34"/>
      <c r="B185" s="30"/>
      <c r="C185" s="30"/>
      <c r="D185" s="30"/>
      <c r="E185" s="16" t="str">
        <f aca="false">IF(B185="","",IFERROR(INDEX(Produtos!$C$5:$C$44,MATCH(B185,Produtos!$A$5:$A$44,0)),0))</f>
        <v/>
      </c>
      <c r="F185" s="16" t="str">
        <f aca="false">IF(B185="","",C185*E185)</f>
        <v/>
      </c>
      <c r="G185" s="16" t="str">
        <f aca="false">IF(B185="","",C185*IFERROR(INDEX(Produtos!$D$5:$D$44,MATCH(B185,Produtos!$A$5:$A$44,0)),0))</f>
        <v/>
      </c>
      <c r="H185" s="16" t="str">
        <f aca="false">IF(B185="","",F185*IFERROR(INDEX(Despesas!$B$5:$B$8,MATCH(D185,Despesas!$A$5:$A$8,0)),0))</f>
        <v/>
      </c>
      <c r="I185" s="16" t="str">
        <f aca="false">IF(B185="","",F185-G185-H185)</f>
        <v/>
      </c>
    </row>
    <row r="186" customFormat="false" ht="15" hidden="false" customHeight="false" outlineLevel="0" collapsed="false">
      <c r="A186" s="34"/>
      <c r="B186" s="30"/>
      <c r="C186" s="30"/>
      <c r="D186" s="30"/>
      <c r="E186" s="16" t="str">
        <f aca="false">IF(B186="","",IFERROR(INDEX(Produtos!$C$5:$C$44,MATCH(B186,Produtos!$A$5:$A$44,0)),0))</f>
        <v/>
      </c>
      <c r="F186" s="16" t="str">
        <f aca="false">IF(B186="","",C186*E186)</f>
        <v/>
      </c>
      <c r="G186" s="16" t="str">
        <f aca="false">IF(B186="","",C186*IFERROR(INDEX(Produtos!$D$5:$D$44,MATCH(B186,Produtos!$A$5:$A$44,0)),0))</f>
        <v/>
      </c>
      <c r="H186" s="16" t="str">
        <f aca="false">IF(B186="","",F186*IFERROR(INDEX(Despesas!$B$5:$B$8,MATCH(D186,Despesas!$A$5:$A$8,0)),0))</f>
        <v/>
      </c>
      <c r="I186" s="16" t="str">
        <f aca="false">IF(B186="","",F186-G186-H186)</f>
        <v/>
      </c>
    </row>
    <row r="187" customFormat="false" ht="15" hidden="false" customHeight="false" outlineLevel="0" collapsed="false">
      <c r="A187" s="34"/>
      <c r="B187" s="30"/>
      <c r="C187" s="30"/>
      <c r="D187" s="30"/>
      <c r="E187" s="16" t="str">
        <f aca="false">IF(B187="","",IFERROR(INDEX(Produtos!$C$5:$C$44,MATCH(B187,Produtos!$A$5:$A$44,0)),0))</f>
        <v/>
      </c>
      <c r="F187" s="16" t="str">
        <f aca="false">IF(B187="","",C187*E187)</f>
        <v/>
      </c>
      <c r="G187" s="16" t="str">
        <f aca="false">IF(B187="","",C187*IFERROR(INDEX(Produtos!$D$5:$D$44,MATCH(B187,Produtos!$A$5:$A$44,0)),0))</f>
        <v/>
      </c>
      <c r="H187" s="16" t="str">
        <f aca="false">IF(B187="","",F187*IFERROR(INDEX(Despesas!$B$5:$B$8,MATCH(D187,Despesas!$A$5:$A$8,0)),0))</f>
        <v/>
      </c>
      <c r="I187" s="16" t="str">
        <f aca="false">IF(B187="","",F187-G187-H187)</f>
        <v/>
      </c>
    </row>
    <row r="188" customFormat="false" ht="15" hidden="false" customHeight="false" outlineLevel="0" collapsed="false">
      <c r="A188" s="34"/>
      <c r="B188" s="30"/>
      <c r="C188" s="30"/>
      <c r="D188" s="30"/>
      <c r="E188" s="16" t="str">
        <f aca="false">IF(B188="","",IFERROR(INDEX(Produtos!$C$5:$C$44,MATCH(B188,Produtos!$A$5:$A$44,0)),0))</f>
        <v/>
      </c>
      <c r="F188" s="16" t="str">
        <f aca="false">IF(B188="","",C188*E188)</f>
        <v/>
      </c>
      <c r="G188" s="16" t="str">
        <f aca="false">IF(B188="","",C188*IFERROR(INDEX(Produtos!$D$5:$D$44,MATCH(B188,Produtos!$A$5:$A$44,0)),0))</f>
        <v/>
      </c>
      <c r="H188" s="16" t="str">
        <f aca="false">IF(B188="","",F188*IFERROR(INDEX(Despesas!$B$5:$B$8,MATCH(D188,Despesas!$A$5:$A$8,0)),0))</f>
        <v/>
      </c>
      <c r="I188" s="16" t="str">
        <f aca="false">IF(B188="","",F188-G188-H188)</f>
        <v/>
      </c>
    </row>
    <row r="189" customFormat="false" ht="15" hidden="false" customHeight="false" outlineLevel="0" collapsed="false">
      <c r="A189" s="34"/>
      <c r="B189" s="30"/>
      <c r="C189" s="30"/>
      <c r="D189" s="30"/>
      <c r="E189" s="16" t="str">
        <f aca="false">IF(B189="","",IFERROR(INDEX(Produtos!$C$5:$C$44,MATCH(B189,Produtos!$A$5:$A$44,0)),0))</f>
        <v/>
      </c>
      <c r="F189" s="16" t="str">
        <f aca="false">IF(B189="","",C189*E189)</f>
        <v/>
      </c>
      <c r="G189" s="16" t="str">
        <f aca="false">IF(B189="","",C189*IFERROR(INDEX(Produtos!$D$5:$D$44,MATCH(B189,Produtos!$A$5:$A$44,0)),0))</f>
        <v/>
      </c>
      <c r="H189" s="16" t="str">
        <f aca="false">IF(B189="","",F189*IFERROR(INDEX(Despesas!$B$5:$B$8,MATCH(D189,Despesas!$A$5:$A$8,0)),0))</f>
        <v/>
      </c>
      <c r="I189" s="16" t="str">
        <f aca="false">IF(B189="","",F189-G189-H189)</f>
        <v/>
      </c>
    </row>
    <row r="190" customFormat="false" ht="15" hidden="false" customHeight="false" outlineLevel="0" collapsed="false">
      <c r="A190" s="34"/>
      <c r="B190" s="30"/>
      <c r="C190" s="30"/>
      <c r="D190" s="30"/>
      <c r="E190" s="16" t="str">
        <f aca="false">IF(B190="","",IFERROR(INDEX(Produtos!$C$5:$C$44,MATCH(B190,Produtos!$A$5:$A$44,0)),0))</f>
        <v/>
      </c>
      <c r="F190" s="16" t="str">
        <f aca="false">IF(B190="","",C190*E190)</f>
        <v/>
      </c>
      <c r="G190" s="16" t="str">
        <f aca="false">IF(B190="","",C190*IFERROR(INDEX(Produtos!$D$5:$D$44,MATCH(B190,Produtos!$A$5:$A$44,0)),0))</f>
        <v/>
      </c>
      <c r="H190" s="16" t="str">
        <f aca="false">IF(B190="","",F190*IFERROR(INDEX(Despesas!$B$5:$B$8,MATCH(D190,Despesas!$A$5:$A$8,0)),0))</f>
        <v/>
      </c>
      <c r="I190" s="16" t="str">
        <f aca="false">IF(B190="","",F190-G190-H190)</f>
        <v/>
      </c>
    </row>
    <row r="191" customFormat="false" ht="15" hidden="false" customHeight="false" outlineLevel="0" collapsed="false">
      <c r="A191" s="34"/>
      <c r="B191" s="30"/>
      <c r="C191" s="30"/>
      <c r="D191" s="30"/>
      <c r="E191" s="16" t="str">
        <f aca="false">IF(B191="","",IFERROR(INDEX(Produtos!$C$5:$C$44,MATCH(B191,Produtos!$A$5:$A$44,0)),0))</f>
        <v/>
      </c>
      <c r="F191" s="16" t="str">
        <f aca="false">IF(B191="","",C191*E191)</f>
        <v/>
      </c>
      <c r="G191" s="16" t="str">
        <f aca="false">IF(B191="","",C191*IFERROR(INDEX(Produtos!$D$5:$D$44,MATCH(B191,Produtos!$A$5:$A$44,0)),0))</f>
        <v/>
      </c>
      <c r="H191" s="16" t="str">
        <f aca="false">IF(B191="","",F191*IFERROR(INDEX(Despesas!$B$5:$B$8,MATCH(D191,Despesas!$A$5:$A$8,0)),0))</f>
        <v/>
      </c>
      <c r="I191" s="16" t="str">
        <f aca="false">IF(B191="","",F191-G191-H191)</f>
        <v/>
      </c>
    </row>
    <row r="192" customFormat="false" ht="15" hidden="false" customHeight="false" outlineLevel="0" collapsed="false">
      <c r="A192" s="34"/>
      <c r="B192" s="30"/>
      <c r="C192" s="30"/>
      <c r="D192" s="30"/>
      <c r="E192" s="16" t="str">
        <f aca="false">IF(B192="","",IFERROR(INDEX(Produtos!$C$5:$C$44,MATCH(B192,Produtos!$A$5:$A$44,0)),0))</f>
        <v/>
      </c>
      <c r="F192" s="16" t="str">
        <f aca="false">IF(B192="","",C192*E192)</f>
        <v/>
      </c>
      <c r="G192" s="16" t="str">
        <f aca="false">IF(B192="","",C192*IFERROR(INDEX(Produtos!$D$5:$D$44,MATCH(B192,Produtos!$A$5:$A$44,0)),0))</f>
        <v/>
      </c>
      <c r="H192" s="16" t="str">
        <f aca="false">IF(B192="","",F192*IFERROR(INDEX(Despesas!$B$5:$B$8,MATCH(D192,Despesas!$A$5:$A$8,0)),0))</f>
        <v/>
      </c>
      <c r="I192" s="16" t="str">
        <f aca="false">IF(B192="","",F192-G192-H192)</f>
        <v/>
      </c>
    </row>
    <row r="193" customFormat="false" ht="15" hidden="false" customHeight="false" outlineLevel="0" collapsed="false">
      <c r="A193" s="34"/>
      <c r="B193" s="30"/>
      <c r="C193" s="30"/>
      <c r="D193" s="30"/>
      <c r="E193" s="16" t="str">
        <f aca="false">IF(B193="","",IFERROR(INDEX(Produtos!$C$5:$C$44,MATCH(B193,Produtos!$A$5:$A$44,0)),0))</f>
        <v/>
      </c>
      <c r="F193" s="16" t="str">
        <f aca="false">IF(B193="","",C193*E193)</f>
        <v/>
      </c>
      <c r="G193" s="16" t="str">
        <f aca="false">IF(B193="","",C193*IFERROR(INDEX(Produtos!$D$5:$D$44,MATCH(B193,Produtos!$A$5:$A$44,0)),0))</f>
        <v/>
      </c>
      <c r="H193" s="16" t="str">
        <f aca="false">IF(B193="","",F193*IFERROR(INDEX(Despesas!$B$5:$B$8,MATCH(D193,Despesas!$A$5:$A$8,0)),0))</f>
        <v/>
      </c>
      <c r="I193" s="16" t="str">
        <f aca="false">IF(B193="","",F193-G193-H193)</f>
        <v/>
      </c>
    </row>
    <row r="194" customFormat="false" ht="15" hidden="false" customHeight="false" outlineLevel="0" collapsed="false">
      <c r="A194" s="34"/>
      <c r="B194" s="30"/>
      <c r="C194" s="30"/>
      <c r="D194" s="30"/>
      <c r="E194" s="16" t="str">
        <f aca="false">IF(B194="","",IFERROR(INDEX(Produtos!$C$5:$C$44,MATCH(B194,Produtos!$A$5:$A$44,0)),0))</f>
        <v/>
      </c>
      <c r="F194" s="16" t="str">
        <f aca="false">IF(B194="","",C194*E194)</f>
        <v/>
      </c>
      <c r="G194" s="16" t="str">
        <f aca="false">IF(B194="","",C194*IFERROR(INDEX(Produtos!$D$5:$D$44,MATCH(B194,Produtos!$A$5:$A$44,0)),0))</f>
        <v/>
      </c>
      <c r="H194" s="16" t="str">
        <f aca="false">IF(B194="","",F194*IFERROR(INDEX(Despesas!$B$5:$B$8,MATCH(D194,Despesas!$A$5:$A$8,0)),0))</f>
        <v/>
      </c>
      <c r="I194" s="16" t="str">
        <f aca="false">IF(B194="","",F194-G194-H194)</f>
        <v/>
      </c>
    </row>
    <row r="195" customFormat="false" ht="15" hidden="false" customHeight="false" outlineLevel="0" collapsed="false">
      <c r="A195" s="34"/>
      <c r="B195" s="30"/>
      <c r="C195" s="30"/>
      <c r="D195" s="30"/>
      <c r="E195" s="16" t="str">
        <f aca="false">IF(B195="","",IFERROR(INDEX(Produtos!$C$5:$C$44,MATCH(B195,Produtos!$A$5:$A$44,0)),0))</f>
        <v/>
      </c>
      <c r="F195" s="16" t="str">
        <f aca="false">IF(B195="","",C195*E195)</f>
        <v/>
      </c>
      <c r="G195" s="16" t="str">
        <f aca="false">IF(B195="","",C195*IFERROR(INDEX(Produtos!$D$5:$D$44,MATCH(B195,Produtos!$A$5:$A$44,0)),0))</f>
        <v/>
      </c>
      <c r="H195" s="16" t="str">
        <f aca="false">IF(B195="","",F195*IFERROR(INDEX(Despesas!$B$5:$B$8,MATCH(D195,Despesas!$A$5:$A$8,0)),0))</f>
        <v/>
      </c>
      <c r="I195" s="16" t="str">
        <f aca="false">IF(B195="","",F195-G195-H195)</f>
        <v/>
      </c>
    </row>
    <row r="196" customFormat="false" ht="15" hidden="false" customHeight="false" outlineLevel="0" collapsed="false">
      <c r="A196" s="34"/>
      <c r="B196" s="30"/>
      <c r="C196" s="30"/>
      <c r="D196" s="30"/>
      <c r="E196" s="16" t="str">
        <f aca="false">IF(B196="","",IFERROR(INDEX(Produtos!$C$5:$C$44,MATCH(B196,Produtos!$A$5:$A$44,0)),0))</f>
        <v/>
      </c>
      <c r="F196" s="16" t="str">
        <f aca="false">IF(B196="","",C196*E196)</f>
        <v/>
      </c>
      <c r="G196" s="16" t="str">
        <f aca="false">IF(B196="","",C196*IFERROR(INDEX(Produtos!$D$5:$D$44,MATCH(B196,Produtos!$A$5:$A$44,0)),0))</f>
        <v/>
      </c>
      <c r="H196" s="16" t="str">
        <f aca="false">IF(B196="","",F196*IFERROR(INDEX(Despesas!$B$5:$B$8,MATCH(D196,Despesas!$A$5:$A$8,0)),0))</f>
        <v/>
      </c>
      <c r="I196" s="16" t="str">
        <f aca="false">IF(B196="","",F196-G196-H196)</f>
        <v/>
      </c>
    </row>
    <row r="197" customFormat="false" ht="15" hidden="false" customHeight="false" outlineLevel="0" collapsed="false">
      <c r="A197" s="34"/>
      <c r="B197" s="30"/>
      <c r="C197" s="30"/>
      <c r="D197" s="30"/>
      <c r="E197" s="16" t="str">
        <f aca="false">IF(B197="","",IFERROR(INDEX(Produtos!$C$5:$C$44,MATCH(B197,Produtos!$A$5:$A$44,0)),0))</f>
        <v/>
      </c>
      <c r="F197" s="16" t="str">
        <f aca="false">IF(B197="","",C197*E197)</f>
        <v/>
      </c>
      <c r="G197" s="16" t="str">
        <f aca="false">IF(B197="","",C197*IFERROR(INDEX(Produtos!$D$5:$D$44,MATCH(B197,Produtos!$A$5:$A$44,0)),0))</f>
        <v/>
      </c>
      <c r="H197" s="16" t="str">
        <f aca="false">IF(B197="","",F197*IFERROR(INDEX(Despesas!$B$5:$B$8,MATCH(D197,Despesas!$A$5:$A$8,0)),0))</f>
        <v/>
      </c>
      <c r="I197" s="16" t="str">
        <f aca="false">IF(B197="","",F197-G197-H197)</f>
        <v/>
      </c>
    </row>
    <row r="198" customFormat="false" ht="15" hidden="false" customHeight="false" outlineLevel="0" collapsed="false">
      <c r="A198" s="34"/>
      <c r="B198" s="30"/>
      <c r="C198" s="30"/>
      <c r="D198" s="30"/>
      <c r="E198" s="16" t="str">
        <f aca="false">IF(B198="","",IFERROR(INDEX(Produtos!$C$5:$C$44,MATCH(B198,Produtos!$A$5:$A$44,0)),0))</f>
        <v/>
      </c>
      <c r="F198" s="16" t="str">
        <f aca="false">IF(B198="","",C198*E198)</f>
        <v/>
      </c>
      <c r="G198" s="16" t="str">
        <f aca="false">IF(B198="","",C198*IFERROR(INDEX(Produtos!$D$5:$D$44,MATCH(B198,Produtos!$A$5:$A$44,0)),0))</f>
        <v/>
      </c>
      <c r="H198" s="16" t="str">
        <f aca="false">IF(B198="","",F198*IFERROR(INDEX(Despesas!$B$5:$B$8,MATCH(D198,Despesas!$A$5:$A$8,0)),0))</f>
        <v/>
      </c>
      <c r="I198" s="16" t="str">
        <f aca="false">IF(B198="","",F198-G198-H198)</f>
        <v/>
      </c>
    </row>
    <row r="199" customFormat="false" ht="15" hidden="false" customHeight="false" outlineLevel="0" collapsed="false">
      <c r="A199" s="34"/>
      <c r="B199" s="30"/>
      <c r="C199" s="30"/>
      <c r="D199" s="30"/>
      <c r="E199" s="16" t="str">
        <f aca="false">IF(B199="","",IFERROR(INDEX(Produtos!$C$5:$C$44,MATCH(B199,Produtos!$A$5:$A$44,0)),0))</f>
        <v/>
      </c>
      <c r="F199" s="16" t="str">
        <f aca="false">IF(B199="","",C199*E199)</f>
        <v/>
      </c>
      <c r="G199" s="16" t="str">
        <f aca="false">IF(B199="","",C199*IFERROR(INDEX(Produtos!$D$5:$D$44,MATCH(B199,Produtos!$A$5:$A$44,0)),0))</f>
        <v/>
      </c>
      <c r="H199" s="16" t="str">
        <f aca="false">IF(B199="","",F199*IFERROR(INDEX(Despesas!$B$5:$B$8,MATCH(D199,Despesas!$A$5:$A$8,0)),0))</f>
        <v/>
      </c>
      <c r="I199" s="16" t="str">
        <f aca="false">IF(B199="","",F199-G199-H199)</f>
        <v/>
      </c>
    </row>
    <row r="200" customFormat="false" ht="15" hidden="false" customHeight="false" outlineLevel="0" collapsed="false">
      <c r="A200" s="34"/>
      <c r="B200" s="30"/>
      <c r="C200" s="30"/>
      <c r="D200" s="30"/>
      <c r="E200" s="16" t="str">
        <f aca="false">IF(B200="","",IFERROR(INDEX(Produtos!$C$5:$C$44,MATCH(B200,Produtos!$A$5:$A$44,0)),0))</f>
        <v/>
      </c>
      <c r="F200" s="16" t="str">
        <f aca="false">IF(B200="","",C200*E200)</f>
        <v/>
      </c>
      <c r="G200" s="16" t="str">
        <f aca="false">IF(B200="","",C200*IFERROR(INDEX(Produtos!$D$5:$D$44,MATCH(B200,Produtos!$A$5:$A$44,0)),0))</f>
        <v/>
      </c>
      <c r="H200" s="16" t="str">
        <f aca="false">IF(B200="","",F200*IFERROR(INDEX(Despesas!$B$5:$B$8,MATCH(D200,Despesas!$A$5:$A$8,0)),0))</f>
        <v/>
      </c>
      <c r="I200" s="16" t="str">
        <f aca="false">IF(B200="","",F200-G200-H200)</f>
        <v/>
      </c>
    </row>
    <row r="201" customFormat="false" ht="15" hidden="false" customHeight="false" outlineLevel="0" collapsed="false">
      <c r="A201" s="34"/>
      <c r="B201" s="30"/>
      <c r="C201" s="30"/>
      <c r="D201" s="30"/>
      <c r="E201" s="16" t="str">
        <f aca="false">IF(B201="","",IFERROR(INDEX(Produtos!$C$5:$C$44,MATCH(B201,Produtos!$A$5:$A$44,0)),0))</f>
        <v/>
      </c>
      <c r="F201" s="16" t="str">
        <f aca="false">IF(B201="","",C201*E201)</f>
        <v/>
      </c>
      <c r="G201" s="16" t="str">
        <f aca="false">IF(B201="","",C201*IFERROR(INDEX(Produtos!$D$5:$D$44,MATCH(B201,Produtos!$A$5:$A$44,0)),0))</f>
        <v/>
      </c>
      <c r="H201" s="16" t="str">
        <f aca="false">IF(B201="","",F201*IFERROR(INDEX(Despesas!$B$5:$B$8,MATCH(D201,Despesas!$A$5:$A$8,0)),0))</f>
        <v/>
      </c>
      <c r="I201" s="16" t="str">
        <f aca="false">IF(B201="","",F201-G201-H201)</f>
        <v/>
      </c>
    </row>
    <row r="202" customFormat="false" ht="15" hidden="false" customHeight="false" outlineLevel="0" collapsed="false">
      <c r="A202" s="34"/>
      <c r="B202" s="30"/>
      <c r="C202" s="30"/>
      <c r="D202" s="30"/>
      <c r="E202" s="16" t="str">
        <f aca="false">IF(B202="","",IFERROR(INDEX(Produtos!$C$5:$C$44,MATCH(B202,Produtos!$A$5:$A$44,0)),0))</f>
        <v/>
      </c>
      <c r="F202" s="16" t="str">
        <f aca="false">IF(B202="","",C202*E202)</f>
        <v/>
      </c>
      <c r="G202" s="16" t="str">
        <f aca="false">IF(B202="","",C202*IFERROR(INDEX(Produtos!$D$5:$D$44,MATCH(B202,Produtos!$A$5:$A$44,0)),0))</f>
        <v/>
      </c>
      <c r="H202" s="16" t="str">
        <f aca="false">IF(B202="","",F202*IFERROR(INDEX(Despesas!$B$5:$B$8,MATCH(D202,Despesas!$A$5:$A$8,0)),0))</f>
        <v/>
      </c>
      <c r="I202" s="16" t="str">
        <f aca="false">IF(B202="","",F202-G202-H202)</f>
        <v/>
      </c>
    </row>
    <row r="203" customFormat="false" ht="15" hidden="false" customHeight="false" outlineLevel="0" collapsed="false">
      <c r="A203" s="34"/>
      <c r="B203" s="30"/>
      <c r="C203" s="30"/>
      <c r="D203" s="30"/>
      <c r="E203" s="16" t="str">
        <f aca="false">IF(B203="","",IFERROR(INDEX(Produtos!$C$5:$C$44,MATCH(B203,Produtos!$A$5:$A$44,0)),0))</f>
        <v/>
      </c>
      <c r="F203" s="16" t="str">
        <f aca="false">IF(B203="","",C203*E203)</f>
        <v/>
      </c>
      <c r="G203" s="16" t="str">
        <f aca="false">IF(B203="","",C203*IFERROR(INDEX(Produtos!$D$5:$D$44,MATCH(B203,Produtos!$A$5:$A$44,0)),0))</f>
        <v/>
      </c>
      <c r="H203" s="16" t="str">
        <f aca="false">IF(B203="","",F203*IFERROR(INDEX(Despesas!$B$5:$B$8,MATCH(D203,Despesas!$A$5:$A$8,0)),0))</f>
        <v/>
      </c>
      <c r="I203" s="16" t="str">
        <f aca="false">IF(B203="","",F203-G203-H203)</f>
        <v/>
      </c>
    </row>
    <row r="204" customFormat="false" ht="15" hidden="false" customHeight="false" outlineLevel="0" collapsed="false">
      <c r="A204" s="34"/>
      <c r="B204" s="30"/>
      <c r="C204" s="30"/>
      <c r="D204" s="30"/>
      <c r="E204" s="16" t="str">
        <f aca="false">IF(B204="","",IFERROR(INDEX(Produtos!$C$5:$C$44,MATCH(B204,Produtos!$A$5:$A$44,0)),0))</f>
        <v/>
      </c>
      <c r="F204" s="16" t="str">
        <f aca="false">IF(B204="","",C204*E204)</f>
        <v/>
      </c>
      <c r="G204" s="16" t="str">
        <f aca="false">IF(B204="","",C204*IFERROR(INDEX(Produtos!$D$5:$D$44,MATCH(B204,Produtos!$A$5:$A$44,0)),0))</f>
        <v/>
      </c>
      <c r="H204" s="16" t="str">
        <f aca="false">IF(B204="","",F204*IFERROR(INDEX(Despesas!$B$5:$B$8,MATCH(D204,Despesas!$A$5:$A$8,0)),0))</f>
        <v/>
      </c>
      <c r="I204" s="16" t="str">
        <f aca="false">IF(B204="","",F204-G204-H204)</f>
        <v/>
      </c>
    </row>
    <row r="205" customFormat="false" ht="15" hidden="false" customHeight="false" outlineLevel="0" collapsed="false">
      <c r="A205" s="34"/>
      <c r="B205" s="30"/>
      <c r="C205" s="30"/>
      <c r="D205" s="30"/>
      <c r="E205" s="16" t="str">
        <f aca="false">IF(B205="","",IFERROR(INDEX(Produtos!$C$5:$C$44,MATCH(B205,Produtos!$A$5:$A$44,0)),0))</f>
        <v/>
      </c>
      <c r="F205" s="16" t="str">
        <f aca="false">IF(B205="","",C205*E205)</f>
        <v/>
      </c>
      <c r="G205" s="16" t="str">
        <f aca="false">IF(B205="","",C205*IFERROR(INDEX(Produtos!$D$5:$D$44,MATCH(B205,Produtos!$A$5:$A$44,0)),0))</f>
        <v/>
      </c>
      <c r="H205" s="16" t="str">
        <f aca="false">IF(B205="","",F205*IFERROR(INDEX(Despesas!$B$5:$B$8,MATCH(D205,Despesas!$A$5:$A$8,0)),0))</f>
        <v/>
      </c>
      <c r="I205" s="16" t="str">
        <f aca="false">IF(B205="","",F205-G205-H205)</f>
        <v/>
      </c>
    </row>
    <row r="206" customFormat="false" ht="15" hidden="false" customHeight="false" outlineLevel="0" collapsed="false">
      <c r="A206" s="34"/>
      <c r="B206" s="30"/>
      <c r="C206" s="30"/>
      <c r="D206" s="30"/>
      <c r="E206" s="16" t="str">
        <f aca="false">IF(B206="","",IFERROR(INDEX(Produtos!$C$5:$C$44,MATCH(B206,Produtos!$A$5:$A$44,0)),0))</f>
        <v/>
      </c>
      <c r="F206" s="16" t="str">
        <f aca="false">IF(B206="","",C206*E206)</f>
        <v/>
      </c>
      <c r="G206" s="16" t="str">
        <f aca="false">IF(B206="","",C206*IFERROR(INDEX(Produtos!$D$5:$D$44,MATCH(B206,Produtos!$A$5:$A$44,0)),0))</f>
        <v/>
      </c>
      <c r="H206" s="16" t="str">
        <f aca="false">IF(B206="","",F206*IFERROR(INDEX(Despesas!$B$5:$B$8,MATCH(D206,Despesas!$A$5:$A$8,0)),0))</f>
        <v/>
      </c>
      <c r="I206" s="16" t="str">
        <f aca="false">IF(B206="","",F206-G206-H206)</f>
        <v/>
      </c>
    </row>
    <row r="207" customFormat="false" ht="15" hidden="false" customHeight="false" outlineLevel="0" collapsed="false">
      <c r="A207" s="34"/>
      <c r="B207" s="30"/>
      <c r="C207" s="30"/>
      <c r="D207" s="30"/>
      <c r="E207" s="16" t="str">
        <f aca="false">IF(B207="","",IFERROR(INDEX(Produtos!$C$5:$C$44,MATCH(B207,Produtos!$A$5:$A$44,0)),0))</f>
        <v/>
      </c>
      <c r="F207" s="16" t="str">
        <f aca="false">IF(B207="","",C207*E207)</f>
        <v/>
      </c>
      <c r="G207" s="16" t="str">
        <f aca="false">IF(B207="","",C207*IFERROR(INDEX(Produtos!$D$5:$D$44,MATCH(B207,Produtos!$A$5:$A$44,0)),0))</f>
        <v/>
      </c>
      <c r="H207" s="16" t="str">
        <f aca="false">IF(B207="","",F207*IFERROR(INDEX(Despesas!$B$5:$B$8,MATCH(D207,Despesas!$A$5:$A$8,0)),0))</f>
        <v/>
      </c>
      <c r="I207" s="16" t="str">
        <f aca="false">IF(B207="","",F207-G207-H207)</f>
        <v/>
      </c>
    </row>
    <row r="208" customFormat="false" ht="15" hidden="false" customHeight="false" outlineLevel="0" collapsed="false">
      <c r="A208" s="34"/>
      <c r="B208" s="30"/>
      <c r="C208" s="30"/>
      <c r="D208" s="30"/>
      <c r="E208" s="16" t="str">
        <f aca="false">IF(B208="","",IFERROR(INDEX(Produtos!$C$5:$C$44,MATCH(B208,Produtos!$A$5:$A$44,0)),0))</f>
        <v/>
      </c>
      <c r="F208" s="16" t="str">
        <f aca="false">IF(B208="","",C208*E208)</f>
        <v/>
      </c>
      <c r="G208" s="16" t="str">
        <f aca="false">IF(B208="","",C208*IFERROR(INDEX(Produtos!$D$5:$D$44,MATCH(B208,Produtos!$A$5:$A$44,0)),0))</f>
        <v/>
      </c>
      <c r="H208" s="16" t="str">
        <f aca="false">IF(B208="","",F208*IFERROR(INDEX(Despesas!$B$5:$B$8,MATCH(D208,Despesas!$A$5:$A$8,0)),0))</f>
        <v/>
      </c>
      <c r="I208" s="16" t="str">
        <f aca="false">IF(B208="","",F208-G208-H208)</f>
        <v/>
      </c>
    </row>
    <row r="209" customFormat="false" ht="15" hidden="false" customHeight="false" outlineLevel="0" collapsed="false">
      <c r="A209" s="34"/>
      <c r="B209" s="30"/>
      <c r="C209" s="30"/>
      <c r="D209" s="30"/>
      <c r="E209" s="16" t="str">
        <f aca="false">IF(B209="","",IFERROR(INDEX(Produtos!$C$5:$C$44,MATCH(B209,Produtos!$A$5:$A$44,0)),0))</f>
        <v/>
      </c>
      <c r="F209" s="16" t="str">
        <f aca="false">IF(B209="","",C209*E209)</f>
        <v/>
      </c>
      <c r="G209" s="16" t="str">
        <f aca="false">IF(B209="","",C209*IFERROR(INDEX(Produtos!$D$5:$D$44,MATCH(B209,Produtos!$A$5:$A$44,0)),0))</f>
        <v/>
      </c>
      <c r="H209" s="16" t="str">
        <f aca="false">IF(B209="","",F209*IFERROR(INDEX(Despesas!$B$5:$B$8,MATCH(D209,Despesas!$A$5:$A$8,0)),0))</f>
        <v/>
      </c>
      <c r="I209" s="16" t="str">
        <f aca="false">IF(B209="","",F209-G209-H209)</f>
        <v/>
      </c>
    </row>
    <row r="210" customFormat="false" ht="15" hidden="false" customHeight="false" outlineLevel="0" collapsed="false">
      <c r="A210" s="34"/>
      <c r="B210" s="30"/>
      <c r="C210" s="30"/>
      <c r="D210" s="30"/>
      <c r="E210" s="16" t="str">
        <f aca="false">IF(B210="","",IFERROR(INDEX(Produtos!$C$5:$C$44,MATCH(B210,Produtos!$A$5:$A$44,0)),0))</f>
        <v/>
      </c>
      <c r="F210" s="16" t="str">
        <f aca="false">IF(B210="","",C210*E210)</f>
        <v/>
      </c>
      <c r="G210" s="16" t="str">
        <f aca="false">IF(B210="","",C210*IFERROR(INDEX(Produtos!$D$5:$D$44,MATCH(B210,Produtos!$A$5:$A$44,0)),0))</f>
        <v/>
      </c>
      <c r="H210" s="16" t="str">
        <f aca="false">IF(B210="","",F210*IFERROR(INDEX(Despesas!$B$5:$B$8,MATCH(D210,Despesas!$A$5:$A$8,0)),0))</f>
        <v/>
      </c>
      <c r="I210" s="16" t="str">
        <f aca="false">IF(B210="","",F210-G210-H210)</f>
        <v/>
      </c>
    </row>
    <row r="211" customFormat="false" ht="15" hidden="false" customHeight="false" outlineLevel="0" collapsed="false">
      <c r="A211" s="34"/>
      <c r="B211" s="30"/>
      <c r="C211" s="30"/>
      <c r="D211" s="30"/>
      <c r="E211" s="16" t="str">
        <f aca="false">IF(B211="","",IFERROR(INDEX(Produtos!$C$5:$C$44,MATCH(B211,Produtos!$A$5:$A$44,0)),0))</f>
        <v/>
      </c>
      <c r="F211" s="16" t="str">
        <f aca="false">IF(B211="","",C211*E211)</f>
        <v/>
      </c>
      <c r="G211" s="16" t="str">
        <f aca="false">IF(B211="","",C211*IFERROR(INDEX(Produtos!$D$5:$D$44,MATCH(B211,Produtos!$A$5:$A$44,0)),0))</f>
        <v/>
      </c>
      <c r="H211" s="16" t="str">
        <f aca="false">IF(B211="","",F211*IFERROR(INDEX(Despesas!$B$5:$B$8,MATCH(D211,Despesas!$A$5:$A$8,0)),0))</f>
        <v/>
      </c>
      <c r="I211" s="16" t="str">
        <f aca="false">IF(B211="","",F211-G211-H211)</f>
        <v/>
      </c>
    </row>
    <row r="212" customFormat="false" ht="15" hidden="false" customHeight="false" outlineLevel="0" collapsed="false">
      <c r="A212" s="34"/>
      <c r="B212" s="30"/>
      <c r="C212" s="30"/>
      <c r="D212" s="30"/>
      <c r="E212" s="16" t="str">
        <f aca="false">IF(B212="","",IFERROR(INDEX(Produtos!$C$5:$C$44,MATCH(B212,Produtos!$A$5:$A$44,0)),0))</f>
        <v/>
      </c>
      <c r="F212" s="16" t="str">
        <f aca="false">IF(B212="","",C212*E212)</f>
        <v/>
      </c>
      <c r="G212" s="16" t="str">
        <f aca="false">IF(B212="","",C212*IFERROR(INDEX(Produtos!$D$5:$D$44,MATCH(B212,Produtos!$A$5:$A$44,0)),0))</f>
        <v/>
      </c>
      <c r="H212" s="16" t="str">
        <f aca="false">IF(B212="","",F212*IFERROR(INDEX(Despesas!$B$5:$B$8,MATCH(D212,Despesas!$A$5:$A$8,0)),0))</f>
        <v/>
      </c>
      <c r="I212" s="16" t="str">
        <f aca="false">IF(B212="","",F212-G212-H212)</f>
        <v/>
      </c>
    </row>
    <row r="213" customFormat="false" ht="15" hidden="false" customHeight="false" outlineLevel="0" collapsed="false">
      <c r="A213" s="34"/>
      <c r="B213" s="30"/>
      <c r="C213" s="30"/>
      <c r="D213" s="30"/>
      <c r="E213" s="16" t="str">
        <f aca="false">IF(B213="","",IFERROR(INDEX(Produtos!$C$5:$C$44,MATCH(B213,Produtos!$A$5:$A$44,0)),0))</f>
        <v/>
      </c>
      <c r="F213" s="16" t="str">
        <f aca="false">IF(B213="","",C213*E213)</f>
        <v/>
      </c>
      <c r="G213" s="16" t="str">
        <f aca="false">IF(B213="","",C213*IFERROR(INDEX(Produtos!$D$5:$D$44,MATCH(B213,Produtos!$A$5:$A$44,0)),0))</f>
        <v/>
      </c>
      <c r="H213" s="16" t="str">
        <f aca="false">IF(B213="","",F213*IFERROR(INDEX(Despesas!$B$5:$B$8,MATCH(D213,Despesas!$A$5:$A$8,0)),0))</f>
        <v/>
      </c>
      <c r="I213" s="16" t="str">
        <f aca="false">IF(B213="","",F213-G213-H213)</f>
        <v/>
      </c>
    </row>
    <row r="214" customFormat="false" ht="15" hidden="false" customHeight="false" outlineLevel="0" collapsed="false">
      <c r="A214" s="34"/>
      <c r="B214" s="30"/>
      <c r="C214" s="30"/>
      <c r="D214" s="30"/>
      <c r="E214" s="16" t="str">
        <f aca="false">IF(B214="","",IFERROR(INDEX(Produtos!$C$5:$C$44,MATCH(B214,Produtos!$A$5:$A$44,0)),0))</f>
        <v/>
      </c>
      <c r="F214" s="16" t="str">
        <f aca="false">IF(B214="","",C214*E214)</f>
        <v/>
      </c>
      <c r="G214" s="16" t="str">
        <f aca="false">IF(B214="","",C214*IFERROR(INDEX(Produtos!$D$5:$D$44,MATCH(B214,Produtos!$A$5:$A$44,0)),0))</f>
        <v/>
      </c>
      <c r="H214" s="16" t="str">
        <f aca="false">IF(B214="","",F214*IFERROR(INDEX(Despesas!$B$5:$B$8,MATCH(D214,Despesas!$A$5:$A$8,0)),0))</f>
        <v/>
      </c>
      <c r="I214" s="16" t="str">
        <f aca="false">IF(B214="","",F214-G214-H214)</f>
        <v/>
      </c>
    </row>
    <row r="215" customFormat="false" ht="15" hidden="false" customHeight="false" outlineLevel="0" collapsed="false">
      <c r="A215" s="34"/>
      <c r="B215" s="30"/>
      <c r="C215" s="30"/>
      <c r="D215" s="30"/>
      <c r="E215" s="16" t="str">
        <f aca="false">IF(B215="","",IFERROR(INDEX(Produtos!$C$5:$C$44,MATCH(B215,Produtos!$A$5:$A$44,0)),0))</f>
        <v/>
      </c>
      <c r="F215" s="16" t="str">
        <f aca="false">IF(B215="","",C215*E215)</f>
        <v/>
      </c>
      <c r="G215" s="16" t="str">
        <f aca="false">IF(B215="","",C215*IFERROR(INDEX(Produtos!$D$5:$D$44,MATCH(B215,Produtos!$A$5:$A$44,0)),0))</f>
        <v/>
      </c>
      <c r="H215" s="16" t="str">
        <f aca="false">IF(B215="","",F215*IFERROR(INDEX(Despesas!$B$5:$B$8,MATCH(D215,Despesas!$A$5:$A$8,0)),0))</f>
        <v/>
      </c>
      <c r="I215" s="16" t="str">
        <f aca="false">IF(B215="","",F215-G215-H215)</f>
        <v/>
      </c>
    </row>
    <row r="216" customFormat="false" ht="15" hidden="false" customHeight="false" outlineLevel="0" collapsed="false">
      <c r="A216" s="34"/>
      <c r="B216" s="30"/>
      <c r="C216" s="30"/>
      <c r="D216" s="30"/>
      <c r="E216" s="16" t="str">
        <f aca="false">IF(B216="","",IFERROR(INDEX(Produtos!$C$5:$C$44,MATCH(B216,Produtos!$A$5:$A$44,0)),0))</f>
        <v/>
      </c>
      <c r="F216" s="16" t="str">
        <f aca="false">IF(B216="","",C216*E216)</f>
        <v/>
      </c>
      <c r="G216" s="16" t="str">
        <f aca="false">IF(B216="","",C216*IFERROR(INDEX(Produtos!$D$5:$D$44,MATCH(B216,Produtos!$A$5:$A$44,0)),0))</f>
        <v/>
      </c>
      <c r="H216" s="16" t="str">
        <f aca="false">IF(B216="","",F216*IFERROR(INDEX(Despesas!$B$5:$B$8,MATCH(D216,Despesas!$A$5:$A$8,0)),0))</f>
        <v/>
      </c>
      <c r="I216" s="16" t="str">
        <f aca="false">IF(B216="","",F216-G216-H216)</f>
        <v/>
      </c>
    </row>
    <row r="217" customFormat="false" ht="15" hidden="false" customHeight="false" outlineLevel="0" collapsed="false">
      <c r="A217" s="34"/>
      <c r="B217" s="30"/>
      <c r="C217" s="30"/>
      <c r="D217" s="30"/>
      <c r="E217" s="16" t="str">
        <f aca="false">IF(B217="","",IFERROR(INDEX(Produtos!$C$5:$C$44,MATCH(B217,Produtos!$A$5:$A$44,0)),0))</f>
        <v/>
      </c>
      <c r="F217" s="16" t="str">
        <f aca="false">IF(B217="","",C217*E217)</f>
        <v/>
      </c>
      <c r="G217" s="16" t="str">
        <f aca="false">IF(B217="","",C217*IFERROR(INDEX(Produtos!$D$5:$D$44,MATCH(B217,Produtos!$A$5:$A$44,0)),0))</f>
        <v/>
      </c>
      <c r="H217" s="16" t="str">
        <f aca="false">IF(B217="","",F217*IFERROR(INDEX(Despesas!$B$5:$B$8,MATCH(D217,Despesas!$A$5:$A$8,0)),0))</f>
        <v/>
      </c>
      <c r="I217" s="16" t="str">
        <f aca="false">IF(B217="","",F217-G217-H217)</f>
        <v/>
      </c>
    </row>
    <row r="218" customFormat="false" ht="15" hidden="false" customHeight="false" outlineLevel="0" collapsed="false">
      <c r="A218" s="34"/>
      <c r="B218" s="30"/>
      <c r="C218" s="30"/>
      <c r="D218" s="30"/>
      <c r="E218" s="16" t="str">
        <f aca="false">IF(B218="","",IFERROR(INDEX(Produtos!$C$5:$C$44,MATCH(B218,Produtos!$A$5:$A$44,0)),0))</f>
        <v/>
      </c>
      <c r="F218" s="16" t="str">
        <f aca="false">IF(B218="","",C218*E218)</f>
        <v/>
      </c>
      <c r="G218" s="16" t="str">
        <f aca="false">IF(B218="","",C218*IFERROR(INDEX(Produtos!$D$5:$D$44,MATCH(B218,Produtos!$A$5:$A$44,0)),0))</f>
        <v/>
      </c>
      <c r="H218" s="16" t="str">
        <f aca="false">IF(B218="","",F218*IFERROR(INDEX(Despesas!$B$5:$B$8,MATCH(D218,Despesas!$A$5:$A$8,0)),0))</f>
        <v/>
      </c>
      <c r="I218" s="16" t="str">
        <f aca="false">IF(B218="","",F218-G218-H218)</f>
        <v/>
      </c>
    </row>
    <row r="219" customFormat="false" ht="15" hidden="false" customHeight="false" outlineLevel="0" collapsed="false">
      <c r="A219" s="34"/>
      <c r="B219" s="30"/>
      <c r="C219" s="30"/>
      <c r="D219" s="30"/>
      <c r="E219" s="16" t="str">
        <f aca="false">IF(B219="","",IFERROR(INDEX(Produtos!$C$5:$C$44,MATCH(B219,Produtos!$A$5:$A$44,0)),0))</f>
        <v/>
      </c>
      <c r="F219" s="16" t="str">
        <f aca="false">IF(B219="","",C219*E219)</f>
        <v/>
      </c>
      <c r="G219" s="16" t="str">
        <f aca="false">IF(B219="","",C219*IFERROR(INDEX(Produtos!$D$5:$D$44,MATCH(B219,Produtos!$A$5:$A$44,0)),0))</f>
        <v/>
      </c>
      <c r="H219" s="16" t="str">
        <f aca="false">IF(B219="","",F219*IFERROR(INDEX(Despesas!$B$5:$B$8,MATCH(D219,Despesas!$A$5:$A$8,0)),0))</f>
        <v/>
      </c>
      <c r="I219" s="16" t="str">
        <f aca="false">IF(B219="","",F219-G219-H219)</f>
        <v/>
      </c>
    </row>
    <row r="220" customFormat="false" ht="15" hidden="false" customHeight="false" outlineLevel="0" collapsed="false">
      <c r="A220" s="34"/>
      <c r="B220" s="30"/>
      <c r="C220" s="30"/>
      <c r="D220" s="30"/>
      <c r="E220" s="16" t="str">
        <f aca="false">IF(B220="","",IFERROR(INDEX(Produtos!$C$5:$C$44,MATCH(B220,Produtos!$A$5:$A$44,0)),0))</f>
        <v/>
      </c>
      <c r="F220" s="16" t="str">
        <f aca="false">IF(B220="","",C220*E220)</f>
        <v/>
      </c>
      <c r="G220" s="16" t="str">
        <f aca="false">IF(B220="","",C220*IFERROR(INDEX(Produtos!$D$5:$D$44,MATCH(B220,Produtos!$A$5:$A$44,0)),0))</f>
        <v/>
      </c>
      <c r="H220" s="16" t="str">
        <f aca="false">IF(B220="","",F220*IFERROR(INDEX(Despesas!$B$5:$B$8,MATCH(D220,Despesas!$A$5:$A$8,0)),0))</f>
        <v/>
      </c>
      <c r="I220" s="16" t="str">
        <f aca="false">IF(B220="","",F220-G220-H220)</f>
        <v/>
      </c>
    </row>
    <row r="221" customFormat="false" ht="15" hidden="false" customHeight="false" outlineLevel="0" collapsed="false">
      <c r="A221" s="34"/>
      <c r="B221" s="30"/>
      <c r="C221" s="30"/>
      <c r="D221" s="30"/>
      <c r="E221" s="16" t="str">
        <f aca="false">IF(B221="","",IFERROR(INDEX(Produtos!$C$5:$C$44,MATCH(B221,Produtos!$A$5:$A$44,0)),0))</f>
        <v/>
      </c>
      <c r="F221" s="16" t="str">
        <f aca="false">IF(B221="","",C221*E221)</f>
        <v/>
      </c>
      <c r="G221" s="16" t="str">
        <f aca="false">IF(B221="","",C221*IFERROR(INDEX(Produtos!$D$5:$D$44,MATCH(B221,Produtos!$A$5:$A$44,0)),0))</f>
        <v/>
      </c>
      <c r="H221" s="16" t="str">
        <f aca="false">IF(B221="","",F221*IFERROR(INDEX(Despesas!$B$5:$B$8,MATCH(D221,Despesas!$A$5:$A$8,0)),0))</f>
        <v/>
      </c>
      <c r="I221" s="16" t="str">
        <f aca="false">IF(B221="","",F221-G221-H221)</f>
        <v/>
      </c>
    </row>
    <row r="222" customFormat="false" ht="15" hidden="false" customHeight="false" outlineLevel="0" collapsed="false">
      <c r="A222" s="34"/>
      <c r="B222" s="30"/>
      <c r="C222" s="30"/>
      <c r="D222" s="30"/>
      <c r="E222" s="16" t="str">
        <f aca="false">IF(B222="","",IFERROR(INDEX(Produtos!$C$5:$C$44,MATCH(B222,Produtos!$A$5:$A$44,0)),0))</f>
        <v/>
      </c>
      <c r="F222" s="16" t="str">
        <f aca="false">IF(B222="","",C222*E222)</f>
        <v/>
      </c>
      <c r="G222" s="16" t="str">
        <f aca="false">IF(B222="","",C222*IFERROR(INDEX(Produtos!$D$5:$D$44,MATCH(B222,Produtos!$A$5:$A$44,0)),0))</f>
        <v/>
      </c>
      <c r="H222" s="16" t="str">
        <f aca="false">IF(B222="","",F222*IFERROR(INDEX(Despesas!$B$5:$B$8,MATCH(D222,Despesas!$A$5:$A$8,0)),0))</f>
        <v/>
      </c>
      <c r="I222" s="16" t="str">
        <f aca="false">IF(B222="","",F222-G222-H222)</f>
        <v/>
      </c>
    </row>
    <row r="223" customFormat="false" ht="15" hidden="false" customHeight="false" outlineLevel="0" collapsed="false">
      <c r="A223" s="34"/>
      <c r="B223" s="30"/>
      <c r="C223" s="30"/>
      <c r="D223" s="30"/>
      <c r="E223" s="16" t="str">
        <f aca="false">IF(B223="","",IFERROR(INDEX(Produtos!$C$5:$C$44,MATCH(B223,Produtos!$A$5:$A$44,0)),0))</f>
        <v/>
      </c>
      <c r="F223" s="16" t="str">
        <f aca="false">IF(B223="","",C223*E223)</f>
        <v/>
      </c>
      <c r="G223" s="16" t="str">
        <f aca="false">IF(B223="","",C223*IFERROR(INDEX(Produtos!$D$5:$D$44,MATCH(B223,Produtos!$A$5:$A$44,0)),0))</f>
        <v/>
      </c>
      <c r="H223" s="16" t="str">
        <f aca="false">IF(B223="","",F223*IFERROR(INDEX(Despesas!$B$5:$B$8,MATCH(D223,Despesas!$A$5:$A$8,0)),0))</f>
        <v/>
      </c>
      <c r="I223" s="16" t="str">
        <f aca="false">IF(B223="","",F223-G223-H223)</f>
        <v/>
      </c>
    </row>
    <row r="224" customFormat="false" ht="15" hidden="false" customHeight="false" outlineLevel="0" collapsed="false">
      <c r="A224" s="34"/>
      <c r="B224" s="30"/>
      <c r="C224" s="30"/>
      <c r="D224" s="30"/>
      <c r="E224" s="16" t="str">
        <f aca="false">IF(B224="","",IFERROR(INDEX(Produtos!$C$5:$C$44,MATCH(B224,Produtos!$A$5:$A$44,0)),0))</f>
        <v/>
      </c>
      <c r="F224" s="16" t="str">
        <f aca="false">IF(B224="","",C224*E224)</f>
        <v/>
      </c>
      <c r="G224" s="16" t="str">
        <f aca="false">IF(B224="","",C224*IFERROR(INDEX(Produtos!$D$5:$D$44,MATCH(B224,Produtos!$A$5:$A$44,0)),0))</f>
        <v/>
      </c>
      <c r="H224" s="16" t="str">
        <f aca="false">IF(B224="","",F224*IFERROR(INDEX(Despesas!$B$5:$B$8,MATCH(D224,Despesas!$A$5:$A$8,0)),0))</f>
        <v/>
      </c>
      <c r="I224" s="16" t="str">
        <f aca="false">IF(B224="","",F224-G224-H224)</f>
        <v/>
      </c>
    </row>
    <row r="225" customFormat="false" ht="15" hidden="false" customHeight="false" outlineLevel="0" collapsed="false">
      <c r="A225" s="34"/>
      <c r="B225" s="30"/>
      <c r="C225" s="30"/>
      <c r="D225" s="30"/>
      <c r="E225" s="16" t="str">
        <f aca="false">IF(B225="","",IFERROR(INDEX(Produtos!$C$5:$C$44,MATCH(B225,Produtos!$A$5:$A$44,0)),0))</f>
        <v/>
      </c>
      <c r="F225" s="16" t="str">
        <f aca="false">IF(B225="","",C225*E225)</f>
        <v/>
      </c>
      <c r="G225" s="16" t="str">
        <f aca="false">IF(B225="","",C225*IFERROR(INDEX(Produtos!$D$5:$D$44,MATCH(B225,Produtos!$A$5:$A$44,0)),0))</f>
        <v/>
      </c>
      <c r="H225" s="16" t="str">
        <f aca="false">IF(B225="","",F225*IFERROR(INDEX(Despesas!$B$5:$B$8,MATCH(D225,Despesas!$A$5:$A$8,0)),0))</f>
        <v/>
      </c>
      <c r="I225" s="16" t="str">
        <f aca="false">IF(B225="","",F225-G225-H225)</f>
        <v/>
      </c>
    </row>
    <row r="226" customFormat="false" ht="15" hidden="false" customHeight="false" outlineLevel="0" collapsed="false">
      <c r="A226" s="34"/>
      <c r="B226" s="30"/>
      <c r="C226" s="30"/>
      <c r="D226" s="30"/>
      <c r="E226" s="16" t="str">
        <f aca="false">IF(B226="","",IFERROR(INDEX(Produtos!$C$5:$C$44,MATCH(B226,Produtos!$A$5:$A$44,0)),0))</f>
        <v/>
      </c>
      <c r="F226" s="16" t="str">
        <f aca="false">IF(B226="","",C226*E226)</f>
        <v/>
      </c>
      <c r="G226" s="16" t="str">
        <f aca="false">IF(B226="","",C226*IFERROR(INDEX(Produtos!$D$5:$D$44,MATCH(B226,Produtos!$A$5:$A$44,0)),0))</f>
        <v/>
      </c>
      <c r="H226" s="16" t="str">
        <f aca="false">IF(B226="","",F226*IFERROR(INDEX(Despesas!$B$5:$B$8,MATCH(D226,Despesas!$A$5:$A$8,0)),0))</f>
        <v/>
      </c>
      <c r="I226" s="16" t="str">
        <f aca="false">IF(B226="","",F226-G226-H226)</f>
        <v/>
      </c>
    </row>
    <row r="227" customFormat="false" ht="15" hidden="false" customHeight="false" outlineLevel="0" collapsed="false">
      <c r="A227" s="34"/>
      <c r="B227" s="30"/>
      <c r="C227" s="30"/>
      <c r="D227" s="30"/>
      <c r="E227" s="16" t="str">
        <f aca="false">IF(B227="","",IFERROR(INDEX(Produtos!$C$5:$C$44,MATCH(B227,Produtos!$A$5:$A$44,0)),0))</f>
        <v/>
      </c>
      <c r="F227" s="16" t="str">
        <f aca="false">IF(B227="","",C227*E227)</f>
        <v/>
      </c>
      <c r="G227" s="16" t="str">
        <f aca="false">IF(B227="","",C227*IFERROR(INDEX(Produtos!$D$5:$D$44,MATCH(B227,Produtos!$A$5:$A$44,0)),0))</f>
        <v/>
      </c>
      <c r="H227" s="16" t="str">
        <f aca="false">IF(B227="","",F227*IFERROR(INDEX(Despesas!$B$5:$B$8,MATCH(D227,Despesas!$A$5:$A$8,0)),0))</f>
        <v/>
      </c>
      <c r="I227" s="16" t="str">
        <f aca="false">IF(B227="","",F227-G227-H227)</f>
        <v/>
      </c>
    </row>
    <row r="228" customFormat="false" ht="15" hidden="false" customHeight="false" outlineLevel="0" collapsed="false">
      <c r="A228" s="34"/>
      <c r="B228" s="30"/>
      <c r="C228" s="30"/>
      <c r="D228" s="30"/>
      <c r="E228" s="16" t="str">
        <f aca="false">IF(B228="","",IFERROR(INDEX(Produtos!$C$5:$C$44,MATCH(B228,Produtos!$A$5:$A$44,0)),0))</f>
        <v/>
      </c>
      <c r="F228" s="16" t="str">
        <f aca="false">IF(B228="","",C228*E228)</f>
        <v/>
      </c>
      <c r="G228" s="16" t="str">
        <f aca="false">IF(B228="","",C228*IFERROR(INDEX(Produtos!$D$5:$D$44,MATCH(B228,Produtos!$A$5:$A$44,0)),0))</f>
        <v/>
      </c>
      <c r="H228" s="16" t="str">
        <f aca="false">IF(B228="","",F228*IFERROR(INDEX(Despesas!$B$5:$B$8,MATCH(D228,Despesas!$A$5:$A$8,0)),0))</f>
        <v/>
      </c>
      <c r="I228" s="16" t="str">
        <f aca="false">IF(B228="","",F228-G228-H228)</f>
        <v/>
      </c>
    </row>
    <row r="229" customFormat="false" ht="15" hidden="false" customHeight="false" outlineLevel="0" collapsed="false">
      <c r="A229" s="34"/>
      <c r="B229" s="30"/>
      <c r="C229" s="30"/>
      <c r="D229" s="30"/>
      <c r="E229" s="16" t="str">
        <f aca="false">IF(B229="","",IFERROR(INDEX(Produtos!$C$5:$C$44,MATCH(B229,Produtos!$A$5:$A$44,0)),0))</f>
        <v/>
      </c>
      <c r="F229" s="16" t="str">
        <f aca="false">IF(B229="","",C229*E229)</f>
        <v/>
      </c>
      <c r="G229" s="16" t="str">
        <f aca="false">IF(B229="","",C229*IFERROR(INDEX(Produtos!$D$5:$D$44,MATCH(B229,Produtos!$A$5:$A$44,0)),0))</f>
        <v/>
      </c>
      <c r="H229" s="16" t="str">
        <f aca="false">IF(B229="","",F229*IFERROR(INDEX(Despesas!$B$5:$B$8,MATCH(D229,Despesas!$A$5:$A$8,0)),0))</f>
        <v/>
      </c>
      <c r="I229" s="16" t="str">
        <f aca="false">IF(B229="","",F229-G229-H229)</f>
        <v/>
      </c>
    </row>
    <row r="230" customFormat="false" ht="15" hidden="false" customHeight="false" outlineLevel="0" collapsed="false">
      <c r="A230" s="34"/>
      <c r="B230" s="30"/>
      <c r="C230" s="30"/>
      <c r="D230" s="30"/>
      <c r="E230" s="16" t="str">
        <f aca="false">IF(B230="","",IFERROR(INDEX(Produtos!$C$5:$C$44,MATCH(B230,Produtos!$A$5:$A$44,0)),0))</f>
        <v/>
      </c>
      <c r="F230" s="16" t="str">
        <f aca="false">IF(B230="","",C230*E230)</f>
        <v/>
      </c>
      <c r="G230" s="16" t="str">
        <f aca="false">IF(B230="","",C230*IFERROR(INDEX(Produtos!$D$5:$D$44,MATCH(B230,Produtos!$A$5:$A$44,0)),0))</f>
        <v/>
      </c>
      <c r="H230" s="16" t="str">
        <f aca="false">IF(B230="","",F230*IFERROR(INDEX(Despesas!$B$5:$B$8,MATCH(D230,Despesas!$A$5:$A$8,0)),0))</f>
        <v/>
      </c>
      <c r="I230" s="16" t="str">
        <f aca="false">IF(B230="","",F230-G230-H230)</f>
        <v/>
      </c>
    </row>
    <row r="231" customFormat="false" ht="15" hidden="false" customHeight="false" outlineLevel="0" collapsed="false">
      <c r="A231" s="34"/>
      <c r="B231" s="30"/>
      <c r="C231" s="30"/>
      <c r="D231" s="30"/>
      <c r="E231" s="16" t="str">
        <f aca="false">IF(B231="","",IFERROR(INDEX(Produtos!$C$5:$C$44,MATCH(B231,Produtos!$A$5:$A$44,0)),0))</f>
        <v/>
      </c>
      <c r="F231" s="16" t="str">
        <f aca="false">IF(B231="","",C231*E231)</f>
        <v/>
      </c>
      <c r="G231" s="16" t="str">
        <f aca="false">IF(B231="","",C231*IFERROR(INDEX(Produtos!$D$5:$D$44,MATCH(B231,Produtos!$A$5:$A$44,0)),0))</f>
        <v/>
      </c>
      <c r="H231" s="16" t="str">
        <f aca="false">IF(B231="","",F231*IFERROR(INDEX(Despesas!$B$5:$B$8,MATCH(D231,Despesas!$A$5:$A$8,0)),0))</f>
        <v/>
      </c>
      <c r="I231" s="16" t="str">
        <f aca="false">IF(B231="","",F231-G231-H231)</f>
        <v/>
      </c>
    </row>
    <row r="232" customFormat="false" ht="15" hidden="false" customHeight="false" outlineLevel="0" collapsed="false">
      <c r="A232" s="34"/>
      <c r="B232" s="30"/>
      <c r="C232" s="30"/>
      <c r="D232" s="30"/>
      <c r="E232" s="16" t="str">
        <f aca="false">IF(B232="","",IFERROR(INDEX(Produtos!$C$5:$C$44,MATCH(B232,Produtos!$A$5:$A$44,0)),0))</f>
        <v/>
      </c>
      <c r="F232" s="16" t="str">
        <f aca="false">IF(B232="","",C232*E232)</f>
        <v/>
      </c>
      <c r="G232" s="16" t="str">
        <f aca="false">IF(B232="","",C232*IFERROR(INDEX(Produtos!$D$5:$D$44,MATCH(B232,Produtos!$A$5:$A$44,0)),0))</f>
        <v/>
      </c>
      <c r="H232" s="16" t="str">
        <f aca="false">IF(B232="","",F232*IFERROR(INDEX(Despesas!$B$5:$B$8,MATCH(D232,Despesas!$A$5:$A$8,0)),0))</f>
        <v/>
      </c>
      <c r="I232" s="16" t="str">
        <f aca="false">IF(B232="","",F232-G232-H232)</f>
        <v/>
      </c>
    </row>
    <row r="233" customFormat="false" ht="15" hidden="false" customHeight="false" outlineLevel="0" collapsed="false">
      <c r="A233" s="34"/>
      <c r="B233" s="30"/>
      <c r="C233" s="30"/>
      <c r="D233" s="30"/>
      <c r="E233" s="16" t="str">
        <f aca="false">IF(B233="","",IFERROR(INDEX(Produtos!$C$5:$C$44,MATCH(B233,Produtos!$A$5:$A$44,0)),0))</f>
        <v/>
      </c>
      <c r="F233" s="16" t="str">
        <f aca="false">IF(B233="","",C233*E233)</f>
        <v/>
      </c>
      <c r="G233" s="16" t="str">
        <f aca="false">IF(B233="","",C233*IFERROR(INDEX(Produtos!$D$5:$D$44,MATCH(B233,Produtos!$A$5:$A$44,0)),0))</f>
        <v/>
      </c>
      <c r="H233" s="16" t="str">
        <f aca="false">IF(B233="","",F233*IFERROR(INDEX(Despesas!$B$5:$B$8,MATCH(D233,Despesas!$A$5:$A$8,0)),0))</f>
        <v/>
      </c>
      <c r="I233" s="16" t="str">
        <f aca="false">IF(B233="","",F233-G233-H233)</f>
        <v/>
      </c>
    </row>
    <row r="234" customFormat="false" ht="15" hidden="false" customHeight="false" outlineLevel="0" collapsed="false">
      <c r="A234" s="34"/>
      <c r="B234" s="30"/>
      <c r="C234" s="30"/>
      <c r="D234" s="30"/>
      <c r="E234" s="16" t="str">
        <f aca="false">IF(B234="","",IFERROR(INDEX(Produtos!$C$5:$C$44,MATCH(B234,Produtos!$A$5:$A$44,0)),0))</f>
        <v/>
      </c>
      <c r="F234" s="16" t="str">
        <f aca="false">IF(B234="","",C234*E234)</f>
        <v/>
      </c>
      <c r="G234" s="16" t="str">
        <f aca="false">IF(B234="","",C234*IFERROR(INDEX(Produtos!$D$5:$D$44,MATCH(B234,Produtos!$A$5:$A$44,0)),0))</f>
        <v/>
      </c>
      <c r="H234" s="16" t="str">
        <f aca="false">IF(B234="","",F234*IFERROR(INDEX(Despesas!$B$5:$B$8,MATCH(D234,Despesas!$A$5:$A$8,0)),0))</f>
        <v/>
      </c>
      <c r="I234" s="16" t="str">
        <f aca="false">IF(B234="","",F234-G234-H234)</f>
        <v/>
      </c>
    </row>
    <row r="235" customFormat="false" ht="15" hidden="false" customHeight="false" outlineLevel="0" collapsed="false">
      <c r="A235" s="34"/>
      <c r="B235" s="30"/>
      <c r="C235" s="30"/>
      <c r="D235" s="30"/>
      <c r="E235" s="16" t="str">
        <f aca="false">IF(B235="","",IFERROR(INDEX(Produtos!$C$5:$C$44,MATCH(B235,Produtos!$A$5:$A$44,0)),0))</f>
        <v/>
      </c>
      <c r="F235" s="16" t="str">
        <f aca="false">IF(B235="","",C235*E235)</f>
        <v/>
      </c>
      <c r="G235" s="16" t="str">
        <f aca="false">IF(B235="","",C235*IFERROR(INDEX(Produtos!$D$5:$D$44,MATCH(B235,Produtos!$A$5:$A$44,0)),0))</f>
        <v/>
      </c>
      <c r="H235" s="16" t="str">
        <f aca="false">IF(B235="","",F235*IFERROR(INDEX(Despesas!$B$5:$B$8,MATCH(D235,Despesas!$A$5:$A$8,0)),0))</f>
        <v/>
      </c>
      <c r="I235" s="16" t="str">
        <f aca="false">IF(B235="","",F235-G235-H235)</f>
        <v/>
      </c>
    </row>
    <row r="236" customFormat="false" ht="15" hidden="false" customHeight="false" outlineLevel="0" collapsed="false">
      <c r="A236" s="34"/>
      <c r="B236" s="30"/>
      <c r="C236" s="30"/>
      <c r="D236" s="30"/>
      <c r="E236" s="16" t="str">
        <f aca="false">IF(B236="","",IFERROR(INDEX(Produtos!$C$5:$C$44,MATCH(B236,Produtos!$A$5:$A$44,0)),0))</f>
        <v/>
      </c>
      <c r="F236" s="16" t="str">
        <f aca="false">IF(B236="","",C236*E236)</f>
        <v/>
      </c>
      <c r="G236" s="16" t="str">
        <f aca="false">IF(B236="","",C236*IFERROR(INDEX(Produtos!$D$5:$D$44,MATCH(B236,Produtos!$A$5:$A$44,0)),0))</f>
        <v/>
      </c>
      <c r="H236" s="16" t="str">
        <f aca="false">IF(B236="","",F236*IFERROR(INDEX(Despesas!$B$5:$B$8,MATCH(D236,Despesas!$A$5:$A$8,0)),0))</f>
        <v/>
      </c>
      <c r="I236" s="16" t="str">
        <f aca="false">IF(B236="","",F236-G236-H236)</f>
        <v/>
      </c>
    </row>
    <row r="237" customFormat="false" ht="15" hidden="false" customHeight="false" outlineLevel="0" collapsed="false">
      <c r="A237" s="34"/>
      <c r="B237" s="30"/>
      <c r="C237" s="30"/>
      <c r="D237" s="30"/>
      <c r="E237" s="16" t="str">
        <f aca="false">IF(B237="","",IFERROR(INDEX(Produtos!$C$5:$C$44,MATCH(B237,Produtos!$A$5:$A$44,0)),0))</f>
        <v/>
      </c>
      <c r="F237" s="16" t="str">
        <f aca="false">IF(B237="","",C237*E237)</f>
        <v/>
      </c>
      <c r="G237" s="16" t="str">
        <f aca="false">IF(B237="","",C237*IFERROR(INDEX(Produtos!$D$5:$D$44,MATCH(B237,Produtos!$A$5:$A$44,0)),0))</f>
        <v/>
      </c>
      <c r="H237" s="16" t="str">
        <f aca="false">IF(B237="","",F237*IFERROR(INDEX(Despesas!$B$5:$B$8,MATCH(D237,Despesas!$A$5:$A$8,0)),0))</f>
        <v/>
      </c>
      <c r="I237" s="16" t="str">
        <f aca="false">IF(B237="","",F237-G237-H237)</f>
        <v/>
      </c>
    </row>
    <row r="238" customFormat="false" ht="15" hidden="false" customHeight="false" outlineLevel="0" collapsed="false">
      <c r="A238" s="34"/>
      <c r="B238" s="30"/>
      <c r="C238" s="30"/>
      <c r="D238" s="30"/>
      <c r="E238" s="16" t="str">
        <f aca="false">IF(B238="","",IFERROR(INDEX(Produtos!$C$5:$C$44,MATCH(B238,Produtos!$A$5:$A$44,0)),0))</f>
        <v/>
      </c>
      <c r="F238" s="16" t="str">
        <f aca="false">IF(B238="","",C238*E238)</f>
        <v/>
      </c>
      <c r="G238" s="16" t="str">
        <f aca="false">IF(B238="","",C238*IFERROR(INDEX(Produtos!$D$5:$D$44,MATCH(B238,Produtos!$A$5:$A$44,0)),0))</f>
        <v/>
      </c>
      <c r="H238" s="16" t="str">
        <f aca="false">IF(B238="","",F238*IFERROR(INDEX(Despesas!$B$5:$B$8,MATCH(D238,Despesas!$A$5:$A$8,0)),0))</f>
        <v/>
      </c>
      <c r="I238" s="16" t="str">
        <f aca="false">IF(B238="","",F238-G238-H238)</f>
        <v/>
      </c>
    </row>
    <row r="239" customFormat="false" ht="15" hidden="false" customHeight="false" outlineLevel="0" collapsed="false">
      <c r="A239" s="34"/>
      <c r="B239" s="30"/>
      <c r="C239" s="30"/>
      <c r="D239" s="30"/>
      <c r="E239" s="16" t="str">
        <f aca="false">IF(B239="","",IFERROR(INDEX(Produtos!$C$5:$C$44,MATCH(B239,Produtos!$A$5:$A$44,0)),0))</f>
        <v/>
      </c>
      <c r="F239" s="16" t="str">
        <f aca="false">IF(B239="","",C239*E239)</f>
        <v/>
      </c>
      <c r="G239" s="16" t="str">
        <f aca="false">IF(B239="","",C239*IFERROR(INDEX(Produtos!$D$5:$D$44,MATCH(B239,Produtos!$A$5:$A$44,0)),0))</f>
        <v/>
      </c>
      <c r="H239" s="16" t="str">
        <f aca="false">IF(B239="","",F239*IFERROR(INDEX(Despesas!$B$5:$B$8,MATCH(D239,Despesas!$A$5:$A$8,0)),0))</f>
        <v/>
      </c>
      <c r="I239" s="16" t="str">
        <f aca="false">IF(B239="","",F239-G239-H239)</f>
        <v/>
      </c>
    </row>
    <row r="240" customFormat="false" ht="15" hidden="false" customHeight="false" outlineLevel="0" collapsed="false">
      <c r="A240" s="34"/>
      <c r="B240" s="30"/>
      <c r="C240" s="30"/>
      <c r="D240" s="30"/>
      <c r="E240" s="16" t="str">
        <f aca="false">IF(B240="","",IFERROR(INDEX(Produtos!$C$5:$C$44,MATCH(B240,Produtos!$A$5:$A$44,0)),0))</f>
        <v/>
      </c>
      <c r="F240" s="16" t="str">
        <f aca="false">IF(B240="","",C240*E240)</f>
        <v/>
      </c>
      <c r="G240" s="16" t="str">
        <f aca="false">IF(B240="","",C240*IFERROR(INDEX(Produtos!$D$5:$D$44,MATCH(B240,Produtos!$A$5:$A$44,0)),0))</f>
        <v/>
      </c>
      <c r="H240" s="16" t="str">
        <f aca="false">IF(B240="","",F240*IFERROR(INDEX(Despesas!$B$5:$B$8,MATCH(D240,Despesas!$A$5:$A$8,0)),0))</f>
        <v/>
      </c>
      <c r="I240" s="16" t="str">
        <f aca="false">IF(B240="","",F240-G240-H240)</f>
        <v/>
      </c>
    </row>
    <row r="241" customFormat="false" ht="15" hidden="false" customHeight="false" outlineLevel="0" collapsed="false">
      <c r="A241" s="34"/>
      <c r="B241" s="30"/>
      <c r="C241" s="30"/>
      <c r="D241" s="30"/>
      <c r="E241" s="16" t="str">
        <f aca="false">IF(B241="","",IFERROR(INDEX(Produtos!$C$5:$C$44,MATCH(B241,Produtos!$A$5:$A$44,0)),0))</f>
        <v/>
      </c>
      <c r="F241" s="16" t="str">
        <f aca="false">IF(B241="","",C241*E241)</f>
        <v/>
      </c>
      <c r="G241" s="16" t="str">
        <f aca="false">IF(B241="","",C241*IFERROR(INDEX(Produtos!$D$5:$D$44,MATCH(B241,Produtos!$A$5:$A$44,0)),0))</f>
        <v/>
      </c>
      <c r="H241" s="16" t="str">
        <f aca="false">IF(B241="","",F241*IFERROR(INDEX(Despesas!$B$5:$B$8,MATCH(D241,Despesas!$A$5:$A$8,0)),0))</f>
        <v/>
      </c>
      <c r="I241" s="16" t="str">
        <f aca="false">IF(B241="","",F241-G241-H241)</f>
        <v/>
      </c>
    </row>
    <row r="242" customFormat="false" ht="15" hidden="false" customHeight="false" outlineLevel="0" collapsed="false">
      <c r="A242" s="34"/>
      <c r="B242" s="30"/>
      <c r="C242" s="30"/>
      <c r="D242" s="30"/>
      <c r="E242" s="16" t="str">
        <f aca="false">IF(B242="","",IFERROR(INDEX(Produtos!$C$5:$C$44,MATCH(B242,Produtos!$A$5:$A$44,0)),0))</f>
        <v/>
      </c>
      <c r="F242" s="16" t="str">
        <f aca="false">IF(B242="","",C242*E242)</f>
        <v/>
      </c>
      <c r="G242" s="16" t="str">
        <f aca="false">IF(B242="","",C242*IFERROR(INDEX(Produtos!$D$5:$D$44,MATCH(B242,Produtos!$A$5:$A$44,0)),0))</f>
        <v/>
      </c>
      <c r="H242" s="16" t="str">
        <f aca="false">IF(B242="","",F242*IFERROR(INDEX(Despesas!$B$5:$B$8,MATCH(D242,Despesas!$A$5:$A$8,0)),0))</f>
        <v/>
      </c>
      <c r="I242" s="16" t="str">
        <f aca="false">IF(B242="","",F242-G242-H242)</f>
        <v/>
      </c>
    </row>
    <row r="243" customFormat="false" ht="15" hidden="false" customHeight="false" outlineLevel="0" collapsed="false">
      <c r="A243" s="34"/>
      <c r="B243" s="30"/>
      <c r="C243" s="30"/>
      <c r="D243" s="30"/>
      <c r="E243" s="16" t="str">
        <f aca="false">IF(B243="","",IFERROR(INDEX(Produtos!$C$5:$C$44,MATCH(B243,Produtos!$A$5:$A$44,0)),0))</f>
        <v/>
      </c>
      <c r="F243" s="16" t="str">
        <f aca="false">IF(B243="","",C243*E243)</f>
        <v/>
      </c>
      <c r="G243" s="16" t="str">
        <f aca="false">IF(B243="","",C243*IFERROR(INDEX(Produtos!$D$5:$D$44,MATCH(B243,Produtos!$A$5:$A$44,0)),0))</f>
        <v/>
      </c>
      <c r="H243" s="16" t="str">
        <f aca="false">IF(B243="","",F243*IFERROR(INDEX(Despesas!$B$5:$B$8,MATCH(D243,Despesas!$A$5:$A$8,0)),0))</f>
        <v/>
      </c>
      <c r="I243" s="16" t="str">
        <f aca="false">IF(B243="","",F243-G243-H243)</f>
        <v/>
      </c>
    </row>
    <row r="244" customFormat="false" ht="15" hidden="false" customHeight="false" outlineLevel="0" collapsed="false">
      <c r="A244" s="34"/>
      <c r="B244" s="30"/>
      <c r="C244" s="30"/>
      <c r="D244" s="30"/>
      <c r="E244" s="16" t="str">
        <f aca="false">IF(B244="","",IFERROR(INDEX(Produtos!$C$5:$C$44,MATCH(B244,Produtos!$A$5:$A$44,0)),0))</f>
        <v/>
      </c>
      <c r="F244" s="16" t="str">
        <f aca="false">IF(B244="","",C244*E244)</f>
        <v/>
      </c>
      <c r="G244" s="16" t="str">
        <f aca="false">IF(B244="","",C244*IFERROR(INDEX(Produtos!$D$5:$D$44,MATCH(B244,Produtos!$A$5:$A$44,0)),0))</f>
        <v/>
      </c>
      <c r="H244" s="16" t="str">
        <f aca="false">IF(B244="","",F244*IFERROR(INDEX(Despesas!$B$5:$B$8,MATCH(D244,Despesas!$A$5:$A$8,0)),0))</f>
        <v/>
      </c>
      <c r="I244" s="16" t="str">
        <f aca="false">IF(B244="","",F244-G244-H244)</f>
        <v/>
      </c>
    </row>
    <row r="245" customFormat="false" ht="15" hidden="false" customHeight="false" outlineLevel="0" collapsed="false">
      <c r="A245" s="34"/>
      <c r="B245" s="30"/>
      <c r="C245" s="30"/>
      <c r="D245" s="30"/>
      <c r="E245" s="16" t="str">
        <f aca="false">IF(B245="","",IFERROR(INDEX(Produtos!$C$5:$C$44,MATCH(B245,Produtos!$A$5:$A$44,0)),0))</f>
        <v/>
      </c>
      <c r="F245" s="16" t="str">
        <f aca="false">IF(B245="","",C245*E245)</f>
        <v/>
      </c>
      <c r="G245" s="16" t="str">
        <f aca="false">IF(B245="","",C245*IFERROR(INDEX(Produtos!$D$5:$D$44,MATCH(B245,Produtos!$A$5:$A$44,0)),0))</f>
        <v/>
      </c>
      <c r="H245" s="16" t="str">
        <f aca="false">IF(B245="","",F245*IFERROR(INDEX(Despesas!$B$5:$B$8,MATCH(D245,Despesas!$A$5:$A$8,0)),0))</f>
        <v/>
      </c>
      <c r="I245" s="16" t="str">
        <f aca="false">IF(B245="","",F245-G245-H245)</f>
        <v/>
      </c>
    </row>
    <row r="246" customFormat="false" ht="15" hidden="false" customHeight="false" outlineLevel="0" collapsed="false">
      <c r="A246" s="34"/>
      <c r="B246" s="30"/>
      <c r="C246" s="30"/>
      <c r="D246" s="30"/>
      <c r="E246" s="16" t="str">
        <f aca="false">IF(B246="","",IFERROR(INDEX(Produtos!$C$5:$C$44,MATCH(B246,Produtos!$A$5:$A$44,0)),0))</f>
        <v/>
      </c>
      <c r="F246" s="16" t="str">
        <f aca="false">IF(B246="","",C246*E246)</f>
        <v/>
      </c>
      <c r="G246" s="16" t="str">
        <f aca="false">IF(B246="","",C246*IFERROR(INDEX(Produtos!$D$5:$D$44,MATCH(B246,Produtos!$A$5:$A$44,0)),0))</f>
        <v/>
      </c>
      <c r="H246" s="16" t="str">
        <f aca="false">IF(B246="","",F246*IFERROR(INDEX(Despesas!$B$5:$B$8,MATCH(D246,Despesas!$A$5:$A$8,0)),0))</f>
        <v/>
      </c>
      <c r="I246" s="16" t="str">
        <f aca="false">IF(B246="","",F246-G246-H246)</f>
        <v/>
      </c>
    </row>
    <row r="247" customFormat="false" ht="15" hidden="false" customHeight="false" outlineLevel="0" collapsed="false">
      <c r="A247" s="34"/>
      <c r="B247" s="30"/>
      <c r="C247" s="30"/>
      <c r="D247" s="30"/>
      <c r="E247" s="16" t="str">
        <f aca="false">IF(B247="","",IFERROR(INDEX(Produtos!$C$5:$C$44,MATCH(B247,Produtos!$A$5:$A$44,0)),0))</f>
        <v/>
      </c>
      <c r="F247" s="16" t="str">
        <f aca="false">IF(B247="","",C247*E247)</f>
        <v/>
      </c>
      <c r="G247" s="16" t="str">
        <f aca="false">IF(B247="","",C247*IFERROR(INDEX(Produtos!$D$5:$D$44,MATCH(B247,Produtos!$A$5:$A$44,0)),0))</f>
        <v/>
      </c>
      <c r="H247" s="16" t="str">
        <f aca="false">IF(B247="","",F247*IFERROR(INDEX(Despesas!$B$5:$B$8,MATCH(D247,Despesas!$A$5:$A$8,0)),0))</f>
        <v/>
      </c>
      <c r="I247" s="16" t="str">
        <f aca="false">IF(B247="","",F247-G247-H247)</f>
        <v/>
      </c>
    </row>
    <row r="248" customFormat="false" ht="15" hidden="false" customHeight="false" outlineLevel="0" collapsed="false">
      <c r="A248" s="34"/>
      <c r="B248" s="30"/>
      <c r="C248" s="30"/>
      <c r="D248" s="30"/>
      <c r="E248" s="16" t="str">
        <f aca="false">IF(B248="","",IFERROR(INDEX(Produtos!$C$5:$C$44,MATCH(B248,Produtos!$A$5:$A$44,0)),0))</f>
        <v/>
      </c>
      <c r="F248" s="16" t="str">
        <f aca="false">IF(B248="","",C248*E248)</f>
        <v/>
      </c>
      <c r="G248" s="16" t="str">
        <f aca="false">IF(B248="","",C248*IFERROR(INDEX(Produtos!$D$5:$D$44,MATCH(B248,Produtos!$A$5:$A$44,0)),0))</f>
        <v/>
      </c>
      <c r="H248" s="16" t="str">
        <f aca="false">IF(B248="","",F248*IFERROR(INDEX(Despesas!$B$5:$B$8,MATCH(D248,Despesas!$A$5:$A$8,0)),0))</f>
        <v/>
      </c>
      <c r="I248" s="16" t="str">
        <f aca="false">IF(B248="","",F248-G248-H248)</f>
        <v/>
      </c>
    </row>
    <row r="249" customFormat="false" ht="15" hidden="false" customHeight="false" outlineLevel="0" collapsed="false">
      <c r="A249" s="34"/>
      <c r="B249" s="30"/>
      <c r="C249" s="30"/>
      <c r="D249" s="30"/>
      <c r="E249" s="16" t="str">
        <f aca="false">IF(B249="","",IFERROR(INDEX(Produtos!$C$5:$C$44,MATCH(B249,Produtos!$A$5:$A$44,0)),0))</f>
        <v/>
      </c>
      <c r="F249" s="16" t="str">
        <f aca="false">IF(B249="","",C249*E249)</f>
        <v/>
      </c>
      <c r="G249" s="16" t="str">
        <f aca="false">IF(B249="","",C249*IFERROR(INDEX(Produtos!$D$5:$D$44,MATCH(B249,Produtos!$A$5:$A$44,0)),0))</f>
        <v/>
      </c>
      <c r="H249" s="16" t="str">
        <f aca="false">IF(B249="","",F249*IFERROR(INDEX(Despesas!$B$5:$B$8,MATCH(D249,Despesas!$A$5:$A$8,0)),0))</f>
        <v/>
      </c>
      <c r="I249" s="16" t="str">
        <f aca="false">IF(B249="","",F249-G249-H249)</f>
        <v/>
      </c>
    </row>
    <row r="250" customFormat="false" ht="15" hidden="false" customHeight="false" outlineLevel="0" collapsed="false">
      <c r="A250" s="34"/>
      <c r="B250" s="30"/>
      <c r="C250" s="30"/>
      <c r="D250" s="30"/>
      <c r="E250" s="16" t="str">
        <f aca="false">IF(B250="","",IFERROR(INDEX(Produtos!$C$5:$C$44,MATCH(B250,Produtos!$A$5:$A$44,0)),0))</f>
        <v/>
      </c>
      <c r="F250" s="16" t="str">
        <f aca="false">IF(B250="","",C250*E250)</f>
        <v/>
      </c>
      <c r="G250" s="16" t="str">
        <f aca="false">IF(B250="","",C250*IFERROR(INDEX(Produtos!$D$5:$D$44,MATCH(B250,Produtos!$A$5:$A$44,0)),0))</f>
        <v/>
      </c>
      <c r="H250" s="16" t="str">
        <f aca="false">IF(B250="","",F250*IFERROR(INDEX(Despesas!$B$5:$B$8,MATCH(D250,Despesas!$A$5:$A$8,0)),0))</f>
        <v/>
      </c>
      <c r="I250" s="16" t="str">
        <f aca="false">IF(B250="","",F250-G250-H250)</f>
        <v/>
      </c>
    </row>
    <row r="251" customFormat="false" ht="15" hidden="false" customHeight="false" outlineLevel="0" collapsed="false">
      <c r="A251" s="34"/>
      <c r="B251" s="30"/>
      <c r="C251" s="30"/>
      <c r="D251" s="30"/>
      <c r="E251" s="16" t="str">
        <f aca="false">IF(B251="","",IFERROR(INDEX(Produtos!$C$5:$C$44,MATCH(B251,Produtos!$A$5:$A$44,0)),0))</f>
        <v/>
      </c>
      <c r="F251" s="16" t="str">
        <f aca="false">IF(B251="","",C251*E251)</f>
        <v/>
      </c>
      <c r="G251" s="16" t="str">
        <f aca="false">IF(B251="","",C251*IFERROR(INDEX(Produtos!$D$5:$D$44,MATCH(B251,Produtos!$A$5:$A$44,0)),0))</f>
        <v/>
      </c>
      <c r="H251" s="16" t="str">
        <f aca="false">IF(B251="","",F251*IFERROR(INDEX(Despesas!$B$5:$B$8,MATCH(D251,Despesas!$A$5:$A$8,0)),0))</f>
        <v/>
      </c>
      <c r="I251" s="16" t="str">
        <f aca="false">IF(B251="","",F251-G251-H251)</f>
        <v/>
      </c>
    </row>
    <row r="252" customFormat="false" ht="15" hidden="false" customHeight="false" outlineLevel="0" collapsed="false">
      <c r="A252" s="34"/>
      <c r="B252" s="30"/>
      <c r="C252" s="30"/>
      <c r="D252" s="30"/>
      <c r="E252" s="16" t="str">
        <f aca="false">IF(B252="","",IFERROR(INDEX(Produtos!$C$5:$C$44,MATCH(B252,Produtos!$A$5:$A$44,0)),0))</f>
        <v/>
      </c>
      <c r="F252" s="16" t="str">
        <f aca="false">IF(B252="","",C252*E252)</f>
        <v/>
      </c>
      <c r="G252" s="16" t="str">
        <f aca="false">IF(B252="","",C252*IFERROR(INDEX(Produtos!$D$5:$D$44,MATCH(B252,Produtos!$A$5:$A$44,0)),0))</f>
        <v/>
      </c>
      <c r="H252" s="16" t="str">
        <f aca="false">IF(B252="","",F252*IFERROR(INDEX(Despesas!$B$5:$B$8,MATCH(D252,Despesas!$A$5:$A$8,0)),0))</f>
        <v/>
      </c>
      <c r="I252" s="16" t="str">
        <f aca="false">IF(B252="","",F252-G252-H252)</f>
        <v/>
      </c>
    </row>
    <row r="253" customFormat="false" ht="15" hidden="false" customHeight="false" outlineLevel="0" collapsed="false">
      <c r="A253" s="34"/>
      <c r="B253" s="30"/>
      <c r="C253" s="30"/>
      <c r="D253" s="30"/>
      <c r="E253" s="16" t="str">
        <f aca="false">IF(B253="","",IFERROR(INDEX(Produtos!$C$5:$C$44,MATCH(B253,Produtos!$A$5:$A$44,0)),0))</f>
        <v/>
      </c>
      <c r="F253" s="16" t="str">
        <f aca="false">IF(B253="","",C253*E253)</f>
        <v/>
      </c>
      <c r="G253" s="16" t="str">
        <f aca="false">IF(B253="","",C253*IFERROR(INDEX(Produtos!$D$5:$D$44,MATCH(B253,Produtos!$A$5:$A$44,0)),0))</f>
        <v/>
      </c>
      <c r="H253" s="16" t="str">
        <f aca="false">IF(B253="","",F253*IFERROR(INDEX(Despesas!$B$5:$B$8,MATCH(D253,Despesas!$A$5:$A$8,0)),0))</f>
        <v/>
      </c>
      <c r="I253" s="16" t="str">
        <f aca="false">IF(B253="","",F253-G253-H253)</f>
        <v/>
      </c>
    </row>
    <row r="254" customFormat="false" ht="15" hidden="false" customHeight="false" outlineLevel="0" collapsed="false">
      <c r="A254" s="34"/>
      <c r="B254" s="30"/>
      <c r="C254" s="30"/>
      <c r="D254" s="30"/>
      <c r="E254" s="16" t="str">
        <f aca="false">IF(B254="","",IFERROR(INDEX(Produtos!$C$5:$C$44,MATCH(B254,Produtos!$A$5:$A$44,0)),0))</f>
        <v/>
      </c>
      <c r="F254" s="16" t="str">
        <f aca="false">IF(B254="","",C254*E254)</f>
        <v/>
      </c>
      <c r="G254" s="16" t="str">
        <f aca="false">IF(B254="","",C254*IFERROR(INDEX(Produtos!$D$5:$D$44,MATCH(B254,Produtos!$A$5:$A$44,0)),0))</f>
        <v/>
      </c>
      <c r="H254" s="16" t="str">
        <f aca="false">IF(B254="","",F254*IFERROR(INDEX(Despesas!$B$5:$B$8,MATCH(D254,Despesas!$A$5:$A$8,0)),0))</f>
        <v/>
      </c>
      <c r="I254" s="16" t="str">
        <f aca="false">IF(B254="","",F254-G254-H254)</f>
        <v/>
      </c>
    </row>
    <row r="255" customFormat="false" ht="15" hidden="false" customHeight="false" outlineLevel="0" collapsed="false">
      <c r="A255" s="34"/>
      <c r="B255" s="30"/>
      <c r="C255" s="30"/>
      <c r="D255" s="30"/>
      <c r="E255" s="16" t="str">
        <f aca="false">IF(B255="","",IFERROR(INDEX(Produtos!$C$5:$C$44,MATCH(B255,Produtos!$A$5:$A$44,0)),0))</f>
        <v/>
      </c>
      <c r="F255" s="16" t="str">
        <f aca="false">IF(B255="","",C255*E255)</f>
        <v/>
      </c>
      <c r="G255" s="16" t="str">
        <f aca="false">IF(B255="","",C255*IFERROR(INDEX(Produtos!$D$5:$D$44,MATCH(B255,Produtos!$A$5:$A$44,0)),0))</f>
        <v/>
      </c>
      <c r="H255" s="16" t="str">
        <f aca="false">IF(B255="","",F255*IFERROR(INDEX(Despesas!$B$5:$B$8,MATCH(D255,Despesas!$A$5:$A$8,0)),0))</f>
        <v/>
      </c>
      <c r="I255" s="16" t="str">
        <f aca="false">IF(B255="","",F255-G255-H255)</f>
        <v/>
      </c>
    </row>
    <row r="256" customFormat="false" ht="15" hidden="false" customHeight="false" outlineLevel="0" collapsed="false">
      <c r="A256" s="34"/>
      <c r="B256" s="30"/>
      <c r="C256" s="30"/>
      <c r="D256" s="30"/>
      <c r="E256" s="16" t="str">
        <f aca="false">IF(B256="","",IFERROR(INDEX(Produtos!$C$5:$C$44,MATCH(B256,Produtos!$A$5:$A$44,0)),0))</f>
        <v/>
      </c>
      <c r="F256" s="16" t="str">
        <f aca="false">IF(B256="","",C256*E256)</f>
        <v/>
      </c>
      <c r="G256" s="16" t="str">
        <f aca="false">IF(B256="","",C256*IFERROR(INDEX(Produtos!$D$5:$D$44,MATCH(B256,Produtos!$A$5:$A$44,0)),0))</f>
        <v/>
      </c>
      <c r="H256" s="16" t="str">
        <f aca="false">IF(B256="","",F256*IFERROR(INDEX(Despesas!$B$5:$B$8,MATCH(D256,Despesas!$A$5:$A$8,0)),0))</f>
        <v/>
      </c>
      <c r="I256" s="16" t="str">
        <f aca="false">IF(B256="","",F256-G256-H256)</f>
        <v/>
      </c>
    </row>
    <row r="257" customFormat="false" ht="15" hidden="false" customHeight="false" outlineLevel="0" collapsed="false">
      <c r="A257" s="34"/>
      <c r="B257" s="30"/>
      <c r="C257" s="30"/>
      <c r="D257" s="30"/>
      <c r="E257" s="16" t="str">
        <f aca="false">IF(B257="","",IFERROR(INDEX(Produtos!$C$5:$C$44,MATCH(B257,Produtos!$A$5:$A$44,0)),0))</f>
        <v/>
      </c>
      <c r="F257" s="16" t="str">
        <f aca="false">IF(B257="","",C257*E257)</f>
        <v/>
      </c>
      <c r="G257" s="16" t="str">
        <f aca="false">IF(B257="","",C257*IFERROR(INDEX(Produtos!$D$5:$D$44,MATCH(B257,Produtos!$A$5:$A$44,0)),0))</f>
        <v/>
      </c>
      <c r="H257" s="16" t="str">
        <f aca="false">IF(B257="","",F257*IFERROR(INDEX(Despesas!$B$5:$B$8,MATCH(D257,Despesas!$A$5:$A$8,0)),0))</f>
        <v/>
      </c>
      <c r="I257" s="16" t="str">
        <f aca="false">IF(B257="","",F257-G257-H257)</f>
        <v/>
      </c>
    </row>
    <row r="258" customFormat="false" ht="15" hidden="false" customHeight="false" outlineLevel="0" collapsed="false">
      <c r="A258" s="34"/>
      <c r="B258" s="30"/>
      <c r="C258" s="30"/>
      <c r="D258" s="30"/>
      <c r="E258" s="16" t="str">
        <f aca="false">IF(B258="","",IFERROR(INDEX(Produtos!$C$5:$C$44,MATCH(B258,Produtos!$A$5:$A$44,0)),0))</f>
        <v/>
      </c>
      <c r="F258" s="16" t="str">
        <f aca="false">IF(B258="","",C258*E258)</f>
        <v/>
      </c>
      <c r="G258" s="16" t="str">
        <f aca="false">IF(B258="","",C258*IFERROR(INDEX(Produtos!$D$5:$D$44,MATCH(B258,Produtos!$A$5:$A$44,0)),0))</f>
        <v/>
      </c>
      <c r="H258" s="16" t="str">
        <f aca="false">IF(B258="","",F258*IFERROR(INDEX(Despesas!$B$5:$B$8,MATCH(D258,Despesas!$A$5:$A$8,0)),0))</f>
        <v/>
      </c>
      <c r="I258" s="16" t="str">
        <f aca="false">IF(B258="","",F258-G258-H258)</f>
        <v/>
      </c>
    </row>
    <row r="259" customFormat="false" ht="15" hidden="false" customHeight="false" outlineLevel="0" collapsed="false">
      <c r="A259" s="34"/>
      <c r="B259" s="30"/>
      <c r="C259" s="30"/>
      <c r="D259" s="30"/>
      <c r="E259" s="16" t="str">
        <f aca="false">IF(B259="","",IFERROR(INDEX(Produtos!$C$5:$C$44,MATCH(B259,Produtos!$A$5:$A$44,0)),0))</f>
        <v/>
      </c>
      <c r="F259" s="16" t="str">
        <f aca="false">IF(B259="","",C259*E259)</f>
        <v/>
      </c>
      <c r="G259" s="16" t="str">
        <f aca="false">IF(B259="","",C259*IFERROR(INDEX(Produtos!$D$5:$D$44,MATCH(B259,Produtos!$A$5:$A$44,0)),0))</f>
        <v/>
      </c>
      <c r="H259" s="16" t="str">
        <f aca="false">IF(B259="","",F259*IFERROR(INDEX(Despesas!$B$5:$B$8,MATCH(D259,Despesas!$A$5:$A$8,0)),0))</f>
        <v/>
      </c>
      <c r="I259" s="16" t="str">
        <f aca="false">IF(B259="","",F259-G259-H259)</f>
        <v/>
      </c>
    </row>
    <row r="260" customFormat="false" ht="15" hidden="false" customHeight="false" outlineLevel="0" collapsed="false">
      <c r="A260" s="34"/>
      <c r="B260" s="30"/>
      <c r="C260" s="30"/>
      <c r="D260" s="30"/>
      <c r="E260" s="16" t="str">
        <f aca="false">IF(B260="","",IFERROR(INDEX(Produtos!$C$5:$C$44,MATCH(B260,Produtos!$A$5:$A$44,0)),0))</f>
        <v/>
      </c>
      <c r="F260" s="16" t="str">
        <f aca="false">IF(B260="","",C260*E260)</f>
        <v/>
      </c>
      <c r="G260" s="16" t="str">
        <f aca="false">IF(B260="","",C260*IFERROR(INDEX(Produtos!$D$5:$D$44,MATCH(B260,Produtos!$A$5:$A$44,0)),0))</f>
        <v/>
      </c>
      <c r="H260" s="16" t="str">
        <f aca="false">IF(B260="","",F260*IFERROR(INDEX(Despesas!$B$5:$B$8,MATCH(D260,Despesas!$A$5:$A$8,0)),0))</f>
        <v/>
      </c>
      <c r="I260" s="16" t="str">
        <f aca="false">IF(B260="","",F260-G260-H260)</f>
        <v/>
      </c>
    </row>
    <row r="261" customFormat="false" ht="15" hidden="false" customHeight="false" outlineLevel="0" collapsed="false">
      <c r="A261" s="34"/>
      <c r="B261" s="30"/>
      <c r="C261" s="30"/>
      <c r="D261" s="30"/>
      <c r="E261" s="16" t="str">
        <f aca="false">IF(B261="","",IFERROR(INDEX(Produtos!$C$5:$C$44,MATCH(B261,Produtos!$A$5:$A$44,0)),0))</f>
        <v/>
      </c>
      <c r="F261" s="16" t="str">
        <f aca="false">IF(B261="","",C261*E261)</f>
        <v/>
      </c>
      <c r="G261" s="16" t="str">
        <f aca="false">IF(B261="","",C261*IFERROR(INDEX(Produtos!$D$5:$D$44,MATCH(B261,Produtos!$A$5:$A$44,0)),0))</f>
        <v/>
      </c>
      <c r="H261" s="16" t="str">
        <f aca="false">IF(B261="","",F261*IFERROR(INDEX(Despesas!$B$5:$B$8,MATCH(D261,Despesas!$A$5:$A$8,0)),0))</f>
        <v/>
      </c>
      <c r="I261" s="16" t="str">
        <f aca="false">IF(B261="","",F261-G261-H261)</f>
        <v/>
      </c>
    </row>
    <row r="262" customFormat="false" ht="15" hidden="false" customHeight="false" outlineLevel="0" collapsed="false">
      <c r="A262" s="34"/>
      <c r="B262" s="30"/>
      <c r="C262" s="30"/>
      <c r="D262" s="30"/>
      <c r="E262" s="16" t="str">
        <f aca="false">IF(B262="","",IFERROR(INDEX(Produtos!$C$5:$C$44,MATCH(B262,Produtos!$A$5:$A$44,0)),0))</f>
        <v/>
      </c>
      <c r="F262" s="16" t="str">
        <f aca="false">IF(B262="","",C262*E262)</f>
        <v/>
      </c>
      <c r="G262" s="16" t="str">
        <f aca="false">IF(B262="","",C262*IFERROR(INDEX(Produtos!$D$5:$D$44,MATCH(B262,Produtos!$A$5:$A$44,0)),0))</f>
        <v/>
      </c>
      <c r="H262" s="16" t="str">
        <f aca="false">IF(B262="","",F262*IFERROR(INDEX(Despesas!$B$5:$B$8,MATCH(D262,Despesas!$A$5:$A$8,0)),0))</f>
        <v/>
      </c>
      <c r="I262" s="16" t="str">
        <f aca="false">IF(B262="","",F262-G262-H262)</f>
        <v/>
      </c>
    </row>
    <row r="263" customFormat="false" ht="15" hidden="false" customHeight="false" outlineLevel="0" collapsed="false">
      <c r="A263" s="34"/>
      <c r="B263" s="30"/>
      <c r="C263" s="30"/>
      <c r="D263" s="30"/>
      <c r="E263" s="16" t="str">
        <f aca="false">IF(B263="","",IFERROR(INDEX(Produtos!$C$5:$C$44,MATCH(B263,Produtos!$A$5:$A$44,0)),0))</f>
        <v/>
      </c>
      <c r="F263" s="16" t="str">
        <f aca="false">IF(B263="","",C263*E263)</f>
        <v/>
      </c>
      <c r="G263" s="16" t="str">
        <f aca="false">IF(B263="","",C263*IFERROR(INDEX(Produtos!$D$5:$D$44,MATCH(B263,Produtos!$A$5:$A$44,0)),0))</f>
        <v/>
      </c>
      <c r="H263" s="16" t="str">
        <f aca="false">IF(B263="","",F263*IFERROR(INDEX(Despesas!$B$5:$B$8,MATCH(D263,Despesas!$A$5:$A$8,0)),0))</f>
        <v/>
      </c>
      <c r="I263" s="16" t="str">
        <f aca="false">IF(B263="","",F263-G263-H263)</f>
        <v/>
      </c>
    </row>
    <row r="264" customFormat="false" ht="15" hidden="false" customHeight="false" outlineLevel="0" collapsed="false">
      <c r="A264" s="34"/>
      <c r="B264" s="30"/>
      <c r="C264" s="30"/>
      <c r="D264" s="30"/>
      <c r="E264" s="16" t="str">
        <f aca="false">IF(B264="","",IFERROR(INDEX(Produtos!$C$5:$C$44,MATCH(B264,Produtos!$A$5:$A$44,0)),0))</f>
        <v/>
      </c>
      <c r="F264" s="16" t="str">
        <f aca="false">IF(B264="","",C264*E264)</f>
        <v/>
      </c>
      <c r="G264" s="16" t="str">
        <f aca="false">IF(B264="","",C264*IFERROR(INDEX(Produtos!$D$5:$D$44,MATCH(B264,Produtos!$A$5:$A$44,0)),0))</f>
        <v/>
      </c>
      <c r="H264" s="16" t="str">
        <f aca="false">IF(B264="","",F264*IFERROR(INDEX(Despesas!$B$5:$B$8,MATCH(D264,Despesas!$A$5:$A$8,0)),0))</f>
        <v/>
      </c>
      <c r="I264" s="16" t="str">
        <f aca="false">IF(B264="","",F264-G264-H264)</f>
        <v/>
      </c>
    </row>
    <row r="265" customFormat="false" ht="15" hidden="false" customHeight="false" outlineLevel="0" collapsed="false">
      <c r="A265" s="34"/>
      <c r="B265" s="30"/>
      <c r="C265" s="30"/>
      <c r="D265" s="30"/>
      <c r="E265" s="16" t="str">
        <f aca="false">IF(B265="","",IFERROR(INDEX(Produtos!$C$5:$C$44,MATCH(B265,Produtos!$A$5:$A$44,0)),0))</f>
        <v/>
      </c>
      <c r="F265" s="16" t="str">
        <f aca="false">IF(B265="","",C265*E265)</f>
        <v/>
      </c>
      <c r="G265" s="16" t="str">
        <f aca="false">IF(B265="","",C265*IFERROR(INDEX(Produtos!$D$5:$D$44,MATCH(B265,Produtos!$A$5:$A$44,0)),0))</f>
        <v/>
      </c>
      <c r="H265" s="16" t="str">
        <f aca="false">IF(B265="","",F265*IFERROR(INDEX(Despesas!$B$5:$B$8,MATCH(D265,Despesas!$A$5:$A$8,0)),0))</f>
        <v/>
      </c>
      <c r="I265" s="16" t="str">
        <f aca="false">IF(B265="","",F265-G265-H265)</f>
        <v/>
      </c>
    </row>
    <row r="266" customFormat="false" ht="15" hidden="false" customHeight="false" outlineLevel="0" collapsed="false">
      <c r="A266" s="34"/>
      <c r="B266" s="30"/>
      <c r="C266" s="30"/>
      <c r="D266" s="30"/>
      <c r="E266" s="16" t="str">
        <f aca="false">IF(B266="","",IFERROR(INDEX(Produtos!$C$5:$C$44,MATCH(B266,Produtos!$A$5:$A$44,0)),0))</f>
        <v/>
      </c>
      <c r="F266" s="16" t="str">
        <f aca="false">IF(B266="","",C266*E266)</f>
        <v/>
      </c>
      <c r="G266" s="16" t="str">
        <f aca="false">IF(B266="","",C266*IFERROR(INDEX(Produtos!$D$5:$D$44,MATCH(B266,Produtos!$A$5:$A$44,0)),0))</f>
        <v/>
      </c>
      <c r="H266" s="16" t="str">
        <f aca="false">IF(B266="","",F266*IFERROR(INDEX(Despesas!$B$5:$B$8,MATCH(D266,Despesas!$A$5:$A$8,0)),0))</f>
        <v/>
      </c>
      <c r="I266" s="16" t="str">
        <f aca="false">IF(B266="","",F266-G266-H266)</f>
        <v/>
      </c>
    </row>
    <row r="267" customFormat="false" ht="15" hidden="false" customHeight="false" outlineLevel="0" collapsed="false">
      <c r="A267" s="34"/>
      <c r="B267" s="30"/>
      <c r="C267" s="30"/>
      <c r="D267" s="30"/>
      <c r="E267" s="16" t="str">
        <f aca="false">IF(B267="","",IFERROR(INDEX(Produtos!$C$5:$C$44,MATCH(B267,Produtos!$A$5:$A$44,0)),0))</f>
        <v/>
      </c>
      <c r="F267" s="16" t="str">
        <f aca="false">IF(B267="","",C267*E267)</f>
        <v/>
      </c>
      <c r="G267" s="16" t="str">
        <f aca="false">IF(B267="","",C267*IFERROR(INDEX(Produtos!$D$5:$D$44,MATCH(B267,Produtos!$A$5:$A$44,0)),0))</f>
        <v/>
      </c>
      <c r="H267" s="16" t="str">
        <f aca="false">IF(B267="","",F267*IFERROR(INDEX(Despesas!$B$5:$B$8,MATCH(D267,Despesas!$A$5:$A$8,0)),0))</f>
        <v/>
      </c>
      <c r="I267" s="16" t="str">
        <f aca="false">IF(B267="","",F267-G267-H267)</f>
        <v/>
      </c>
    </row>
    <row r="268" customFormat="false" ht="15" hidden="false" customHeight="false" outlineLevel="0" collapsed="false">
      <c r="A268" s="34"/>
      <c r="B268" s="30"/>
      <c r="C268" s="30"/>
      <c r="D268" s="30"/>
      <c r="E268" s="16" t="str">
        <f aca="false">IF(B268="","",IFERROR(INDEX(Produtos!$C$5:$C$44,MATCH(B268,Produtos!$A$5:$A$44,0)),0))</f>
        <v/>
      </c>
      <c r="F268" s="16" t="str">
        <f aca="false">IF(B268="","",C268*E268)</f>
        <v/>
      </c>
      <c r="G268" s="16" t="str">
        <f aca="false">IF(B268="","",C268*IFERROR(INDEX(Produtos!$D$5:$D$44,MATCH(B268,Produtos!$A$5:$A$44,0)),0))</f>
        <v/>
      </c>
      <c r="H268" s="16" t="str">
        <f aca="false">IF(B268="","",F268*IFERROR(INDEX(Despesas!$B$5:$B$8,MATCH(D268,Despesas!$A$5:$A$8,0)),0))</f>
        <v/>
      </c>
      <c r="I268" s="16" t="str">
        <f aca="false">IF(B268="","",F268-G268-H268)</f>
        <v/>
      </c>
    </row>
    <row r="269" customFormat="false" ht="15" hidden="false" customHeight="false" outlineLevel="0" collapsed="false">
      <c r="A269" s="34"/>
      <c r="B269" s="30"/>
      <c r="C269" s="30"/>
      <c r="D269" s="30"/>
      <c r="E269" s="16" t="str">
        <f aca="false">IF(B269="","",IFERROR(INDEX(Produtos!$C$5:$C$44,MATCH(B269,Produtos!$A$5:$A$44,0)),0))</f>
        <v/>
      </c>
      <c r="F269" s="16" t="str">
        <f aca="false">IF(B269="","",C269*E269)</f>
        <v/>
      </c>
      <c r="G269" s="16" t="str">
        <f aca="false">IF(B269="","",C269*IFERROR(INDEX(Produtos!$D$5:$D$44,MATCH(B269,Produtos!$A$5:$A$44,0)),0))</f>
        <v/>
      </c>
      <c r="H269" s="16" t="str">
        <f aca="false">IF(B269="","",F269*IFERROR(INDEX(Despesas!$B$5:$B$8,MATCH(D269,Despesas!$A$5:$A$8,0)),0))</f>
        <v/>
      </c>
      <c r="I269" s="16" t="str">
        <f aca="false">IF(B269="","",F269-G269-H269)</f>
        <v/>
      </c>
    </row>
    <row r="270" customFormat="false" ht="15" hidden="false" customHeight="false" outlineLevel="0" collapsed="false">
      <c r="A270" s="34"/>
      <c r="B270" s="30"/>
      <c r="C270" s="30"/>
      <c r="D270" s="30"/>
      <c r="E270" s="16" t="str">
        <f aca="false">IF(B270="","",IFERROR(INDEX(Produtos!$C$5:$C$44,MATCH(B270,Produtos!$A$5:$A$44,0)),0))</f>
        <v/>
      </c>
      <c r="F270" s="16" t="str">
        <f aca="false">IF(B270="","",C270*E270)</f>
        <v/>
      </c>
      <c r="G270" s="16" t="str">
        <f aca="false">IF(B270="","",C270*IFERROR(INDEX(Produtos!$D$5:$D$44,MATCH(B270,Produtos!$A$5:$A$44,0)),0))</f>
        <v/>
      </c>
      <c r="H270" s="16" t="str">
        <f aca="false">IF(B270="","",F270*IFERROR(INDEX(Despesas!$B$5:$B$8,MATCH(D270,Despesas!$A$5:$A$8,0)),0))</f>
        <v/>
      </c>
      <c r="I270" s="16" t="str">
        <f aca="false">IF(B270="","",F270-G270-H270)</f>
        <v/>
      </c>
    </row>
    <row r="271" customFormat="false" ht="15" hidden="false" customHeight="false" outlineLevel="0" collapsed="false">
      <c r="A271" s="34"/>
      <c r="B271" s="30"/>
      <c r="C271" s="30"/>
      <c r="D271" s="30"/>
      <c r="E271" s="16" t="str">
        <f aca="false">IF(B271="","",IFERROR(INDEX(Produtos!$C$5:$C$44,MATCH(B271,Produtos!$A$5:$A$44,0)),0))</f>
        <v/>
      </c>
      <c r="F271" s="16" t="str">
        <f aca="false">IF(B271="","",C271*E271)</f>
        <v/>
      </c>
      <c r="G271" s="16" t="str">
        <f aca="false">IF(B271="","",C271*IFERROR(INDEX(Produtos!$D$5:$D$44,MATCH(B271,Produtos!$A$5:$A$44,0)),0))</f>
        <v/>
      </c>
      <c r="H271" s="16" t="str">
        <f aca="false">IF(B271="","",F271*IFERROR(INDEX(Despesas!$B$5:$B$8,MATCH(D271,Despesas!$A$5:$A$8,0)),0))</f>
        <v/>
      </c>
      <c r="I271" s="16" t="str">
        <f aca="false">IF(B271="","",F271-G271-H271)</f>
        <v/>
      </c>
    </row>
    <row r="272" customFormat="false" ht="15" hidden="false" customHeight="false" outlineLevel="0" collapsed="false">
      <c r="A272" s="34"/>
      <c r="B272" s="30"/>
      <c r="C272" s="30"/>
      <c r="D272" s="30"/>
      <c r="E272" s="16" t="str">
        <f aca="false">IF(B272="","",IFERROR(INDEX(Produtos!$C$5:$C$44,MATCH(B272,Produtos!$A$5:$A$44,0)),0))</f>
        <v/>
      </c>
      <c r="F272" s="16" t="str">
        <f aca="false">IF(B272="","",C272*E272)</f>
        <v/>
      </c>
      <c r="G272" s="16" t="str">
        <f aca="false">IF(B272="","",C272*IFERROR(INDEX(Produtos!$D$5:$D$44,MATCH(B272,Produtos!$A$5:$A$44,0)),0))</f>
        <v/>
      </c>
      <c r="H272" s="16" t="str">
        <f aca="false">IF(B272="","",F272*IFERROR(INDEX(Despesas!$B$5:$B$8,MATCH(D272,Despesas!$A$5:$A$8,0)),0))</f>
        <v/>
      </c>
      <c r="I272" s="16" t="str">
        <f aca="false">IF(B272="","",F272-G272-H272)</f>
        <v/>
      </c>
    </row>
    <row r="273" customFormat="false" ht="15" hidden="false" customHeight="false" outlineLevel="0" collapsed="false">
      <c r="A273" s="34"/>
      <c r="B273" s="30"/>
      <c r="C273" s="30"/>
      <c r="D273" s="30"/>
      <c r="E273" s="16" t="str">
        <f aca="false">IF(B273="","",IFERROR(INDEX(Produtos!$C$5:$C$44,MATCH(B273,Produtos!$A$5:$A$44,0)),0))</f>
        <v/>
      </c>
      <c r="F273" s="16" t="str">
        <f aca="false">IF(B273="","",C273*E273)</f>
        <v/>
      </c>
      <c r="G273" s="16" t="str">
        <f aca="false">IF(B273="","",C273*IFERROR(INDEX(Produtos!$D$5:$D$44,MATCH(B273,Produtos!$A$5:$A$44,0)),0))</f>
        <v/>
      </c>
      <c r="H273" s="16" t="str">
        <f aca="false">IF(B273="","",F273*IFERROR(INDEX(Despesas!$B$5:$B$8,MATCH(D273,Despesas!$A$5:$A$8,0)),0))</f>
        <v/>
      </c>
      <c r="I273" s="16" t="str">
        <f aca="false">IF(B273="","",F273-G273-H273)</f>
        <v/>
      </c>
    </row>
    <row r="274" customFormat="false" ht="15" hidden="false" customHeight="false" outlineLevel="0" collapsed="false">
      <c r="A274" s="34"/>
      <c r="B274" s="30"/>
      <c r="C274" s="30"/>
      <c r="D274" s="30"/>
      <c r="E274" s="16" t="str">
        <f aca="false">IF(B274="","",IFERROR(INDEX(Produtos!$C$5:$C$44,MATCH(B274,Produtos!$A$5:$A$44,0)),0))</f>
        <v/>
      </c>
      <c r="F274" s="16" t="str">
        <f aca="false">IF(B274="","",C274*E274)</f>
        <v/>
      </c>
      <c r="G274" s="16" t="str">
        <f aca="false">IF(B274="","",C274*IFERROR(INDEX(Produtos!$D$5:$D$44,MATCH(B274,Produtos!$A$5:$A$44,0)),0))</f>
        <v/>
      </c>
      <c r="H274" s="16" t="str">
        <f aca="false">IF(B274="","",F274*IFERROR(INDEX(Despesas!$B$5:$B$8,MATCH(D274,Despesas!$A$5:$A$8,0)),0))</f>
        <v/>
      </c>
      <c r="I274" s="16" t="str">
        <f aca="false">IF(B274="","",F274-G274-H274)</f>
        <v/>
      </c>
    </row>
    <row r="275" customFormat="false" ht="15" hidden="false" customHeight="false" outlineLevel="0" collapsed="false">
      <c r="A275" s="34"/>
      <c r="B275" s="30"/>
      <c r="C275" s="30"/>
      <c r="D275" s="30"/>
      <c r="E275" s="16" t="str">
        <f aca="false">IF(B275="","",IFERROR(INDEX(Produtos!$C$5:$C$44,MATCH(B275,Produtos!$A$5:$A$44,0)),0))</f>
        <v/>
      </c>
      <c r="F275" s="16" t="str">
        <f aca="false">IF(B275="","",C275*E275)</f>
        <v/>
      </c>
      <c r="G275" s="16" t="str">
        <f aca="false">IF(B275="","",C275*IFERROR(INDEX(Produtos!$D$5:$D$44,MATCH(B275,Produtos!$A$5:$A$44,0)),0))</f>
        <v/>
      </c>
      <c r="H275" s="16" t="str">
        <f aca="false">IF(B275="","",F275*IFERROR(INDEX(Despesas!$B$5:$B$8,MATCH(D275,Despesas!$A$5:$A$8,0)),0))</f>
        <v/>
      </c>
      <c r="I275" s="16" t="str">
        <f aca="false">IF(B275="","",F275-G275-H275)</f>
        <v/>
      </c>
    </row>
    <row r="276" customFormat="false" ht="15" hidden="false" customHeight="false" outlineLevel="0" collapsed="false">
      <c r="A276" s="34"/>
      <c r="B276" s="30"/>
      <c r="C276" s="30"/>
      <c r="D276" s="30"/>
      <c r="E276" s="16" t="str">
        <f aca="false">IF(B276="","",IFERROR(INDEX(Produtos!$C$5:$C$44,MATCH(B276,Produtos!$A$5:$A$44,0)),0))</f>
        <v/>
      </c>
      <c r="F276" s="16" t="str">
        <f aca="false">IF(B276="","",C276*E276)</f>
        <v/>
      </c>
      <c r="G276" s="16" t="str">
        <f aca="false">IF(B276="","",C276*IFERROR(INDEX(Produtos!$D$5:$D$44,MATCH(B276,Produtos!$A$5:$A$44,0)),0))</f>
        <v/>
      </c>
      <c r="H276" s="16" t="str">
        <f aca="false">IF(B276="","",F276*IFERROR(INDEX(Despesas!$B$5:$B$8,MATCH(D276,Despesas!$A$5:$A$8,0)),0))</f>
        <v/>
      </c>
      <c r="I276" s="16" t="str">
        <f aca="false">IF(B276="","",F276-G276-H276)</f>
        <v/>
      </c>
    </row>
    <row r="277" customFormat="false" ht="15" hidden="false" customHeight="false" outlineLevel="0" collapsed="false">
      <c r="A277" s="34"/>
      <c r="B277" s="30"/>
      <c r="C277" s="30"/>
      <c r="D277" s="30"/>
      <c r="E277" s="16" t="str">
        <f aca="false">IF(B277="","",IFERROR(INDEX(Produtos!$C$5:$C$44,MATCH(B277,Produtos!$A$5:$A$44,0)),0))</f>
        <v/>
      </c>
      <c r="F277" s="16" t="str">
        <f aca="false">IF(B277="","",C277*E277)</f>
        <v/>
      </c>
      <c r="G277" s="16" t="str">
        <f aca="false">IF(B277="","",C277*IFERROR(INDEX(Produtos!$D$5:$D$44,MATCH(B277,Produtos!$A$5:$A$44,0)),0))</f>
        <v/>
      </c>
      <c r="H277" s="16" t="str">
        <f aca="false">IF(B277="","",F277*IFERROR(INDEX(Despesas!$B$5:$B$8,MATCH(D277,Despesas!$A$5:$A$8,0)),0))</f>
        <v/>
      </c>
      <c r="I277" s="16" t="str">
        <f aca="false">IF(B277="","",F277-G277-H277)</f>
        <v/>
      </c>
    </row>
    <row r="278" customFormat="false" ht="15" hidden="false" customHeight="false" outlineLevel="0" collapsed="false">
      <c r="A278" s="34"/>
      <c r="B278" s="30"/>
      <c r="C278" s="30"/>
      <c r="D278" s="30"/>
      <c r="E278" s="16" t="str">
        <f aca="false">IF(B278="","",IFERROR(INDEX(Produtos!$C$5:$C$44,MATCH(B278,Produtos!$A$5:$A$44,0)),0))</f>
        <v/>
      </c>
      <c r="F278" s="16" t="str">
        <f aca="false">IF(B278="","",C278*E278)</f>
        <v/>
      </c>
      <c r="G278" s="16" t="str">
        <f aca="false">IF(B278="","",C278*IFERROR(INDEX(Produtos!$D$5:$D$44,MATCH(B278,Produtos!$A$5:$A$44,0)),0))</f>
        <v/>
      </c>
      <c r="H278" s="16" t="str">
        <f aca="false">IF(B278="","",F278*IFERROR(INDEX(Despesas!$B$5:$B$8,MATCH(D278,Despesas!$A$5:$A$8,0)),0))</f>
        <v/>
      </c>
      <c r="I278" s="16" t="str">
        <f aca="false">IF(B278="","",F278-G278-H278)</f>
        <v/>
      </c>
    </row>
    <row r="279" customFormat="false" ht="15" hidden="false" customHeight="false" outlineLevel="0" collapsed="false">
      <c r="A279" s="34"/>
      <c r="B279" s="30"/>
      <c r="C279" s="30"/>
      <c r="D279" s="30"/>
      <c r="E279" s="16" t="str">
        <f aca="false">IF(B279="","",IFERROR(INDEX(Produtos!$C$5:$C$44,MATCH(B279,Produtos!$A$5:$A$44,0)),0))</f>
        <v/>
      </c>
      <c r="F279" s="16" t="str">
        <f aca="false">IF(B279="","",C279*E279)</f>
        <v/>
      </c>
      <c r="G279" s="16" t="str">
        <f aca="false">IF(B279="","",C279*IFERROR(INDEX(Produtos!$D$5:$D$44,MATCH(B279,Produtos!$A$5:$A$44,0)),0))</f>
        <v/>
      </c>
      <c r="H279" s="16" t="str">
        <f aca="false">IF(B279="","",F279*IFERROR(INDEX(Despesas!$B$5:$B$8,MATCH(D279,Despesas!$A$5:$A$8,0)),0))</f>
        <v/>
      </c>
      <c r="I279" s="16" t="str">
        <f aca="false">IF(B279="","",F279-G279-H279)</f>
        <v/>
      </c>
    </row>
    <row r="280" customFormat="false" ht="15" hidden="false" customHeight="false" outlineLevel="0" collapsed="false">
      <c r="A280" s="34"/>
      <c r="B280" s="30"/>
      <c r="C280" s="30"/>
      <c r="D280" s="30"/>
      <c r="E280" s="16" t="str">
        <f aca="false">IF(B280="","",IFERROR(INDEX(Produtos!$C$5:$C$44,MATCH(B280,Produtos!$A$5:$A$44,0)),0))</f>
        <v/>
      </c>
      <c r="F280" s="16" t="str">
        <f aca="false">IF(B280="","",C280*E280)</f>
        <v/>
      </c>
      <c r="G280" s="16" t="str">
        <f aca="false">IF(B280="","",C280*IFERROR(INDEX(Produtos!$D$5:$D$44,MATCH(B280,Produtos!$A$5:$A$44,0)),0))</f>
        <v/>
      </c>
      <c r="H280" s="16" t="str">
        <f aca="false">IF(B280="","",F280*IFERROR(INDEX(Despesas!$B$5:$B$8,MATCH(D280,Despesas!$A$5:$A$8,0)),0))</f>
        <v/>
      </c>
      <c r="I280" s="16" t="str">
        <f aca="false">IF(B280="","",F280-G280-H280)</f>
        <v/>
      </c>
    </row>
    <row r="281" customFormat="false" ht="15" hidden="false" customHeight="false" outlineLevel="0" collapsed="false">
      <c r="A281" s="34"/>
      <c r="B281" s="30"/>
      <c r="C281" s="30"/>
      <c r="D281" s="30"/>
      <c r="E281" s="16" t="str">
        <f aca="false">IF(B281="","",IFERROR(INDEX(Produtos!$C$5:$C$44,MATCH(B281,Produtos!$A$5:$A$44,0)),0))</f>
        <v/>
      </c>
      <c r="F281" s="16" t="str">
        <f aca="false">IF(B281="","",C281*E281)</f>
        <v/>
      </c>
      <c r="G281" s="16" t="str">
        <f aca="false">IF(B281="","",C281*IFERROR(INDEX(Produtos!$D$5:$D$44,MATCH(B281,Produtos!$A$5:$A$44,0)),0))</f>
        <v/>
      </c>
      <c r="H281" s="16" t="str">
        <f aca="false">IF(B281="","",F281*IFERROR(INDEX(Despesas!$B$5:$B$8,MATCH(D281,Despesas!$A$5:$A$8,0)),0))</f>
        <v/>
      </c>
      <c r="I281" s="16" t="str">
        <f aca="false">IF(B281="","",F281-G281-H281)</f>
        <v/>
      </c>
    </row>
    <row r="282" customFormat="false" ht="15" hidden="false" customHeight="false" outlineLevel="0" collapsed="false">
      <c r="A282" s="34"/>
      <c r="B282" s="30"/>
      <c r="C282" s="30"/>
      <c r="D282" s="30"/>
      <c r="E282" s="16" t="str">
        <f aca="false">IF(B282="","",IFERROR(INDEX(Produtos!$C$5:$C$44,MATCH(B282,Produtos!$A$5:$A$44,0)),0))</f>
        <v/>
      </c>
      <c r="F282" s="16" t="str">
        <f aca="false">IF(B282="","",C282*E282)</f>
        <v/>
      </c>
      <c r="G282" s="16" t="str">
        <f aca="false">IF(B282="","",C282*IFERROR(INDEX(Produtos!$D$5:$D$44,MATCH(B282,Produtos!$A$5:$A$44,0)),0))</f>
        <v/>
      </c>
      <c r="H282" s="16" t="str">
        <f aca="false">IF(B282="","",F282*IFERROR(INDEX(Despesas!$B$5:$B$8,MATCH(D282,Despesas!$A$5:$A$8,0)),0))</f>
        <v/>
      </c>
      <c r="I282" s="16" t="str">
        <f aca="false">IF(B282="","",F282-G282-H282)</f>
        <v/>
      </c>
    </row>
    <row r="283" customFormat="false" ht="15" hidden="false" customHeight="false" outlineLevel="0" collapsed="false">
      <c r="A283" s="34"/>
      <c r="B283" s="30"/>
      <c r="C283" s="30"/>
      <c r="D283" s="30"/>
      <c r="E283" s="16" t="str">
        <f aca="false">IF(B283="","",IFERROR(INDEX(Produtos!$C$5:$C$44,MATCH(B283,Produtos!$A$5:$A$44,0)),0))</f>
        <v/>
      </c>
      <c r="F283" s="16" t="str">
        <f aca="false">IF(B283="","",C283*E283)</f>
        <v/>
      </c>
      <c r="G283" s="16" t="str">
        <f aca="false">IF(B283="","",C283*IFERROR(INDEX(Produtos!$D$5:$D$44,MATCH(B283,Produtos!$A$5:$A$44,0)),0))</f>
        <v/>
      </c>
      <c r="H283" s="16" t="str">
        <f aca="false">IF(B283="","",F283*IFERROR(INDEX(Despesas!$B$5:$B$8,MATCH(D283,Despesas!$A$5:$A$8,0)),0))</f>
        <v/>
      </c>
      <c r="I283" s="16" t="str">
        <f aca="false">IF(B283="","",F283-G283-H283)</f>
        <v/>
      </c>
    </row>
    <row r="284" customFormat="false" ht="15" hidden="false" customHeight="false" outlineLevel="0" collapsed="false">
      <c r="A284" s="34"/>
      <c r="B284" s="30"/>
      <c r="C284" s="30"/>
      <c r="D284" s="30"/>
      <c r="E284" s="16" t="str">
        <f aca="false">IF(B284="","",IFERROR(INDEX(Produtos!$C$5:$C$44,MATCH(B284,Produtos!$A$5:$A$44,0)),0))</f>
        <v/>
      </c>
      <c r="F284" s="16" t="str">
        <f aca="false">IF(B284="","",C284*E284)</f>
        <v/>
      </c>
      <c r="G284" s="16" t="str">
        <f aca="false">IF(B284="","",C284*IFERROR(INDEX(Produtos!$D$5:$D$44,MATCH(B284,Produtos!$A$5:$A$44,0)),0))</f>
        <v/>
      </c>
      <c r="H284" s="16" t="str">
        <f aca="false">IF(B284="","",F284*IFERROR(INDEX(Despesas!$B$5:$B$8,MATCH(D284,Despesas!$A$5:$A$8,0)),0))</f>
        <v/>
      </c>
      <c r="I284" s="16" t="str">
        <f aca="false">IF(B284="","",F284-G284-H284)</f>
        <v/>
      </c>
    </row>
    <row r="285" customFormat="false" ht="15" hidden="false" customHeight="false" outlineLevel="0" collapsed="false">
      <c r="A285" s="34"/>
      <c r="B285" s="30"/>
      <c r="C285" s="30"/>
      <c r="D285" s="30"/>
      <c r="E285" s="16" t="str">
        <f aca="false">IF(B285="","",IFERROR(INDEX(Produtos!$C$5:$C$44,MATCH(B285,Produtos!$A$5:$A$44,0)),0))</f>
        <v/>
      </c>
      <c r="F285" s="16" t="str">
        <f aca="false">IF(B285="","",C285*E285)</f>
        <v/>
      </c>
      <c r="G285" s="16" t="str">
        <f aca="false">IF(B285="","",C285*IFERROR(INDEX(Produtos!$D$5:$D$44,MATCH(B285,Produtos!$A$5:$A$44,0)),0))</f>
        <v/>
      </c>
      <c r="H285" s="16" t="str">
        <f aca="false">IF(B285="","",F285*IFERROR(INDEX(Despesas!$B$5:$B$8,MATCH(D285,Despesas!$A$5:$A$8,0)),0))</f>
        <v/>
      </c>
      <c r="I285" s="16" t="str">
        <f aca="false">IF(B285="","",F285-G285-H285)</f>
        <v/>
      </c>
    </row>
    <row r="286" customFormat="false" ht="15" hidden="false" customHeight="false" outlineLevel="0" collapsed="false">
      <c r="A286" s="34"/>
      <c r="B286" s="30"/>
      <c r="C286" s="30"/>
      <c r="D286" s="30"/>
      <c r="E286" s="16" t="str">
        <f aca="false">IF(B286="","",IFERROR(INDEX(Produtos!$C$5:$C$44,MATCH(B286,Produtos!$A$5:$A$44,0)),0))</f>
        <v/>
      </c>
      <c r="F286" s="16" t="str">
        <f aca="false">IF(B286="","",C286*E286)</f>
        <v/>
      </c>
      <c r="G286" s="16" t="str">
        <f aca="false">IF(B286="","",C286*IFERROR(INDEX(Produtos!$D$5:$D$44,MATCH(B286,Produtos!$A$5:$A$44,0)),0))</f>
        <v/>
      </c>
      <c r="H286" s="16" t="str">
        <f aca="false">IF(B286="","",F286*IFERROR(INDEX(Despesas!$B$5:$B$8,MATCH(D286,Despesas!$A$5:$A$8,0)),0))</f>
        <v/>
      </c>
      <c r="I286" s="16" t="str">
        <f aca="false">IF(B286="","",F286-G286-H286)</f>
        <v/>
      </c>
    </row>
    <row r="287" customFormat="false" ht="15" hidden="false" customHeight="false" outlineLevel="0" collapsed="false">
      <c r="A287" s="34"/>
      <c r="B287" s="30"/>
      <c r="C287" s="30"/>
      <c r="D287" s="30"/>
      <c r="E287" s="16" t="str">
        <f aca="false">IF(B287="","",IFERROR(INDEX(Produtos!$C$5:$C$44,MATCH(B287,Produtos!$A$5:$A$44,0)),0))</f>
        <v/>
      </c>
      <c r="F287" s="16" t="str">
        <f aca="false">IF(B287="","",C287*E287)</f>
        <v/>
      </c>
      <c r="G287" s="16" t="str">
        <f aca="false">IF(B287="","",C287*IFERROR(INDEX(Produtos!$D$5:$D$44,MATCH(B287,Produtos!$A$5:$A$44,0)),0))</f>
        <v/>
      </c>
      <c r="H287" s="16" t="str">
        <f aca="false">IF(B287="","",F287*IFERROR(INDEX(Despesas!$B$5:$B$8,MATCH(D287,Despesas!$A$5:$A$8,0)),0))</f>
        <v/>
      </c>
      <c r="I287" s="16" t="str">
        <f aca="false">IF(B287="","",F287-G287-H287)</f>
        <v/>
      </c>
    </row>
    <row r="288" customFormat="false" ht="15" hidden="false" customHeight="false" outlineLevel="0" collapsed="false">
      <c r="A288" s="34"/>
      <c r="B288" s="30"/>
      <c r="C288" s="30"/>
      <c r="D288" s="30"/>
      <c r="E288" s="16" t="str">
        <f aca="false">IF(B288="","",IFERROR(INDEX(Produtos!$C$5:$C$44,MATCH(B288,Produtos!$A$5:$A$44,0)),0))</f>
        <v/>
      </c>
      <c r="F288" s="16" t="str">
        <f aca="false">IF(B288="","",C288*E288)</f>
        <v/>
      </c>
      <c r="G288" s="16" t="str">
        <f aca="false">IF(B288="","",C288*IFERROR(INDEX(Produtos!$D$5:$D$44,MATCH(B288,Produtos!$A$5:$A$44,0)),0))</f>
        <v/>
      </c>
      <c r="H288" s="16" t="str">
        <f aca="false">IF(B288="","",F288*IFERROR(INDEX(Despesas!$B$5:$B$8,MATCH(D288,Despesas!$A$5:$A$8,0)),0))</f>
        <v/>
      </c>
      <c r="I288" s="16" t="str">
        <f aca="false">IF(B288="","",F288-G288-H288)</f>
        <v/>
      </c>
    </row>
    <row r="289" customFormat="false" ht="15" hidden="false" customHeight="false" outlineLevel="0" collapsed="false">
      <c r="A289" s="34"/>
      <c r="B289" s="30"/>
      <c r="C289" s="30"/>
      <c r="D289" s="30"/>
      <c r="E289" s="16" t="str">
        <f aca="false">IF(B289="","",IFERROR(INDEX(Produtos!$C$5:$C$44,MATCH(B289,Produtos!$A$5:$A$44,0)),0))</f>
        <v/>
      </c>
      <c r="F289" s="16" t="str">
        <f aca="false">IF(B289="","",C289*E289)</f>
        <v/>
      </c>
      <c r="G289" s="16" t="str">
        <f aca="false">IF(B289="","",C289*IFERROR(INDEX(Produtos!$D$5:$D$44,MATCH(B289,Produtos!$A$5:$A$44,0)),0))</f>
        <v/>
      </c>
      <c r="H289" s="16" t="str">
        <f aca="false">IF(B289="","",F289*IFERROR(INDEX(Despesas!$B$5:$B$8,MATCH(D289,Despesas!$A$5:$A$8,0)),0))</f>
        <v/>
      </c>
      <c r="I289" s="16" t="str">
        <f aca="false">IF(B289="","",F289-G289-H289)</f>
        <v/>
      </c>
    </row>
    <row r="290" customFormat="false" ht="15" hidden="false" customHeight="false" outlineLevel="0" collapsed="false">
      <c r="A290" s="34"/>
      <c r="B290" s="30"/>
      <c r="C290" s="30"/>
      <c r="D290" s="30"/>
      <c r="E290" s="16" t="str">
        <f aca="false">IF(B290="","",IFERROR(INDEX(Produtos!$C$5:$C$44,MATCH(B290,Produtos!$A$5:$A$44,0)),0))</f>
        <v/>
      </c>
      <c r="F290" s="16" t="str">
        <f aca="false">IF(B290="","",C290*E290)</f>
        <v/>
      </c>
      <c r="G290" s="16" t="str">
        <f aca="false">IF(B290="","",C290*IFERROR(INDEX(Produtos!$D$5:$D$44,MATCH(B290,Produtos!$A$5:$A$44,0)),0))</f>
        <v/>
      </c>
      <c r="H290" s="16" t="str">
        <f aca="false">IF(B290="","",F290*IFERROR(INDEX(Despesas!$B$5:$B$8,MATCH(D290,Despesas!$A$5:$A$8,0)),0))</f>
        <v/>
      </c>
      <c r="I290" s="16" t="str">
        <f aca="false">IF(B290="","",F290-G290-H290)</f>
        <v/>
      </c>
    </row>
    <row r="291" customFormat="false" ht="15" hidden="false" customHeight="false" outlineLevel="0" collapsed="false">
      <c r="A291" s="34"/>
      <c r="B291" s="30"/>
      <c r="C291" s="30"/>
      <c r="D291" s="30"/>
      <c r="E291" s="16" t="str">
        <f aca="false">IF(B291="","",IFERROR(INDEX(Produtos!$C$5:$C$44,MATCH(B291,Produtos!$A$5:$A$44,0)),0))</f>
        <v/>
      </c>
      <c r="F291" s="16" t="str">
        <f aca="false">IF(B291="","",C291*E291)</f>
        <v/>
      </c>
      <c r="G291" s="16" t="str">
        <f aca="false">IF(B291="","",C291*IFERROR(INDEX(Produtos!$D$5:$D$44,MATCH(B291,Produtos!$A$5:$A$44,0)),0))</f>
        <v/>
      </c>
      <c r="H291" s="16" t="str">
        <f aca="false">IF(B291="","",F291*IFERROR(INDEX(Despesas!$B$5:$B$8,MATCH(D291,Despesas!$A$5:$A$8,0)),0))</f>
        <v/>
      </c>
      <c r="I291" s="16" t="str">
        <f aca="false">IF(B291="","",F291-G291-H291)</f>
        <v/>
      </c>
    </row>
    <row r="292" customFormat="false" ht="15" hidden="false" customHeight="false" outlineLevel="0" collapsed="false">
      <c r="A292" s="34"/>
      <c r="B292" s="30"/>
      <c r="C292" s="30"/>
      <c r="D292" s="30"/>
      <c r="E292" s="16" t="str">
        <f aca="false">IF(B292="","",IFERROR(INDEX(Produtos!$C$5:$C$44,MATCH(B292,Produtos!$A$5:$A$44,0)),0))</f>
        <v/>
      </c>
      <c r="F292" s="16" t="str">
        <f aca="false">IF(B292="","",C292*E292)</f>
        <v/>
      </c>
      <c r="G292" s="16" t="str">
        <f aca="false">IF(B292="","",C292*IFERROR(INDEX(Produtos!$D$5:$D$44,MATCH(B292,Produtos!$A$5:$A$44,0)),0))</f>
        <v/>
      </c>
      <c r="H292" s="16" t="str">
        <f aca="false">IF(B292="","",F292*IFERROR(INDEX(Despesas!$B$5:$B$8,MATCH(D292,Despesas!$A$5:$A$8,0)),0))</f>
        <v/>
      </c>
      <c r="I292" s="16" t="str">
        <f aca="false">IF(B292="","",F292-G292-H292)</f>
        <v/>
      </c>
    </row>
    <row r="293" customFormat="false" ht="15" hidden="false" customHeight="false" outlineLevel="0" collapsed="false">
      <c r="A293" s="34"/>
      <c r="B293" s="30"/>
      <c r="C293" s="30"/>
      <c r="D293" s="30"/>
      <c r="E293" s="16" t="str">
        <f aca="false">IF(B293="","",IFERROR(INDEX(Produtos!$C$5:$C$44,MATCH(B293,Produtos!$A$5:$A$44,0)),0))</f>
        <v/>
      </c>
      <c r="F293" s="16" t="str">
        <f aca="false">IF(B293="","",C293*E293)</f>
        <v/>
      </c>
      <c r="G293" s="16" t="str">
        <f aca="false">IF(B293="","",C293*IFERROR(INDEX(Produtos!$D$5:$D$44,MATCH(B293,Produtos!$A$5:$A$44,0)),0))</f>
        <v/>
      </c>
      <c r="H293" s="16" t="str">
        <f aca="false">IF(B293="","",F293*IFERROR(INDEX(Despesas!$B$5:$B$8,MATCH(D293,Despesas!$A$5:$A$8,0)),0))</f>
        <v/>
      </c>
      <c r="I293" s="16" t="str">
        <f aca="false">IF(B293="","",F293-G293-H293)</f>
        <v/>
      </c>
    </row>
    <row r="294" customFormat="false" ht="15" hidden="false" customHeight="false" outlineLevel="0" collapsed="false">
      <c r="A294" s="34"/>
      <c r="B294" s="30"/>
      <c r="C294" s="30"/>
      <c r="D294" s="30"/>
      <c r="E294" s="16" t="str">
        <f aca="false">IF(B294="","",IFERROR(INDEX(Produtos!$C$5:$C$44,MATCH(B294,Produtos!$A$5:$A$44,0)),0))</f>
        <v/>
      </c>
      <c r="F294" s="16" t="str">
        <f aca="false">IF(B294="","",C294*E294)</f>
        <v/>
      </c>
      <c r="G294" s="16" t="str">
        <f aca="false">IF(B294="","",C294*IFERROR(INDEX(Produtos!$D$5:$D$44,MATCH(B294,Produtos!$A$5:$A$44,0)),0))</f>
        <v/>
      </c>
      <c r="H294" s="16" t="str">
        <f aca="false">IF(B294="","",F294*IFERROR(INDEX(Despesas!$B$5:$B$8,MATCH(D294,Despesas!$A$5:$A$8,0)),0))</f>
        <v/>
      </c>
      <c r="I294" s="16" t="str">
        <f aca="false">IF(B294="","",F294-G294-H294)</f>
        <v/>
      </c>
    </row>
    <row r="295" customFormat="false" ht="15" hidden="false" customHeight="false" outlineLevel="0" collapsed="false">
      <c r="A295" s="34"/>
      <c r="B295" s="30"/>
      <c r="C295" s="30"/>
      <c r="D295" s="30"/>
      <c r="E295" s="16" t="str">
        <f aca="false">IF(B295="","",IFERROR(INDEX(Produtos!$C$5:$C$44,MATCH(B295,Produtos!$A$5:$A$44,0)),0))</f>
        <v/>
      </c>
      <c r="F295" s="16" t="str">
        <f aca="false">IF(B295="","",C295*E295)</f>
        <v/>
      </c>
      <c r="G295" s="16" t="str">
        <f aca="false">IF(B295="","",C295*IFERROR(INDEX(Produtos!$D$5:$D$44,MATCH(B295,Produtos!$A$5:$A$44,0)),0))</f>
        <v/>
      </c>
      <c r="H295" s="16" t="str">
        <f aca="false">IF(B295="","",F295*IFERROR(INDEX(Despesas!$B$5:$B$8,MATCH(D295,Despesas!$A$5:$A$8,0)),0))</f>
        <v/>
      </c>
      <c r="I295" s="16" t="str">
        <f aca="false">IF(B295="","",F295-G295-H295)</f>
        <v/>
      </c>
    </row>
    <row r="296" customFormat="false" ht="15" hidden="false" customHeight="false" outlineLevel="0" collapsed="false">
      <c r="A296" s="34"/>
      <c r="B296" s="30"/>
      <c r="C296" s="30"/>
      <c r="D296" s="30"/>
      <c r="E296" s="16" t="str">
        <f aca="false">IF(B296="","",IFERROR(INDEX(Produtos!$C$5:$C$44,MATCH(B296,Produtos!$A$5:$A$44,0)),0))</f>
        <v/>
      </c>
      <c r="F296" s="16" t="str">
        <f aca="false">IF(B296="","",C296*E296)</f>
        <v/>
      </c>
      <c r="G296" s="16" t="str">
        <f aca="false">IF(B296="","",C296*IFERROR(INDEX(Produtos!$D$5:$D$44,MATCH(B296,Produtos!$A$5:$A$44,0)),0))</f>
        <v/>
      </c>
      <c r="H296" s="16" t="str">
        <f aca="false">IF(B296="","",F296*IFERROR(INDEX(Despesas!$B$5:$B$8,MATCH(D296,Despesas!$A$5:$A$8,0)),0))</f>
        <v/>
      </c>
      <c r="I296" s="16" t="str">
        <f aca="false">IF(B296="","",F296-G296-H296)</f>
        <v/>
      </c>
    </row>
    <row r="297" customFormat="false" ht="15" hidden="false" customHeight="false" outlineLevel="0" collapsed="false">
      <c r="A297" s="34"/>
      <c r="B297" s="30"/>
      <c r="C297" s="30"/>
      <c r="D297" s="30"/>
      <c r="E297" s="16" t="str">
        <f aca="false">IF(B297="","",IFERROR(INDEX(Produtos!$C$5:$C$44,MATCH(B297,Produtos!$A$5:$A$44,0)),0))</f>
        <v/>
      </c>
      <c r="F297" s="16" t="str">
        <f aca="false">IF(B297="","",C297*E297)</f>
        <v/>
      </c>
      <c r="G297" s="16" t="str">
        <f aca="false">IF(B297="","",C297*IFERROR(INDEX(Produtos!$D$5:$D$44,MATCH(B297,Produtos!$A$5:$A$44,0)),0))</f>
        <v/>
      </c>
      <c r="H297" s="16" t="str">
        <f aca="false">IF(B297="","",F297*IFERROR(INDEX(Despesas!$B$5:$B$8,MATCH(D297,Despesas!$A$5:$A$8,0)),0))</f>
        <v/>
      </c>
      <c r="I297" s="16" t="str">
        <f aca="false">IF(B297="","",F297-G297-H297)</f>
        <v/>
      </c>
    </row>
    <row r="298" customFormat="false" ht="15" hidden="false" customHeight="false" outlineLevel="0" collapsed="false">
      <c r="A298" s="34"/>
      <c r="B298" s="30"/>
      <c r="C298" s="30"/>
      <c r="D298" s="30"/>
      <c r="E298" s="16" t="str">
        <f aca="false">IF(B298="","",IFERROR(INDEX(Produtos!$C$5:$C$44,MATCH(B298,Produtos!$A$5:$A$44,0)),0))</f>
        <v/>
      </c>
      <c r="F298" s="16" t="str">
        <f aca="false">IF(B298="","",C298*E298)</f>
        <v/>
      </c>
      <c r="G298" s="16" t="str">
        <f aca="false">IF(B298="","",C298*IFERROR(INDEX(Produtos!$D$5:$D$44,MATCH(B298,Produtos!$A$5:$A$44,0)),0))</f>
        <v/>
      </c>
      <c r="H298" s="16" t="str">
        <f aca="false">IF(B298="","",F298*IFERROR(INDEX(Despesas!$B$5:$B$8,MATCH(D298,Despesas!$A$5:$A$8,0)),0))</f>
        <v/>
      </c>
      <c r="I298" s="16" t="str">
        <f aca="false">IF(B298="","",F298-G298-H298)</f>
        <v/>
      </c>
    </row>
    <row r="299" customFormat="false" ht="15" hidden="false" customHeight="false" outlineLevel="0" collapsed="false">
      <c r="A299" s="34"/>
      <c r="B299" s="30"/>
      <c r="C299" s="30"/>
      <c r="D299" s="30"/>
      <c r="E299" s="16" t="str">
        <f aca="false">IF(B299="","",IFERROR(INDEX(Produtos!$C$5:$C$44,MATCH(B299,Produtos!$A$5:$A$44,0)),0))</f>
        <v/>
      </c>
      <c r="F299" s="16" t="str">
        <f aca="false">IF(B299="","",C299*E299)</f>
        <v/>
      </c>
      <c r="G299" s="16" t="str">
        <f aca="false">IF(B299="","",C299*IFERROR(INDEX(Produtos!$D$5:$D$44,MATCH(B299,Produtos!$A$5:$A$44,0)),0))</f>
        <v/>
      </c>
      <c r="H299" s="16" t="str">
        <f aca="false">IF(B299="","",F299*IFERROR(INDEX(Despesas!$B$5:$B$8,MATCH(D299,Despesas!$A$5:$A$8,0)),0))</f>
        <v/>
      </c>
      <c r="I299" s="16" t="str">
        <f aca="false">IF(B299="","",F299-G299-H299)</f>
        <v/>
      </c>
    </row>
    <row r="300" customFormat="false" ht="15" hidden="false" customHeight="false" outlineLevel="0" collapsed="false">
      <c r="A300" s="34"/>
      <c r="B300" s="30"/>
      <c r="C300" s="30"/>
      <c r="D300" s="30"/>
      <c r="E300" s="16" t="str">
        <f aca="false">IF(B300="","",IFERROR(INDEX(Produtos!$C$5:$C$44,MATCH(B300,Produtos!$A$5:$A$44,0)),0))</f>
        <v/>
      </c>
      <c r="F300" s="16" t="str">
        <f aca="false">IF(B300="","",C300*E300)</f>
        <v/>
      </c>
      <c r="G300" s="16" t="str">
        <f aca="false">IF(B300="","",C300*IFERROR(INDEX(Produtos!$D$5:$D$44,MATCH(B300,Produtos!$A$5:$A$44,0)),0))</f>
        <v/>
      </c>
      <c r="H300" s="16" t="str">
        <f aca="false">IF(B300="","",F300*IFERROR(INDEX(Despesas!$B$5:$B$8,MATCH(D300,Despesas!$A$5:$A$8,0)),0))</f>
        <v/>
      </c>
      <c r="I300" s="16" t="str">
        <f aca="false">IF(B300="","",F300-G300-H300)</f>
        <v/>
      </c>
    </row>
    <row r="301" customFormat="false" ht="15" hidden="false" customHeight="false" outlineLevel="0" collapsed="false">
      <c r="A301" s="34"/>
      <c r="B301" s="30"/>
      <c r="C301" s="30"/>
      <c r="D301" s="30"/>
      <c r="E301" s="16" t="str">
        <f aca="false">IF(B301="","",IFERROR(INDEX(Produtos!$C$5:$C$44,MATCH(B301,Produtos!$A$5:$A$44,0)),0))</f>
        <v/>
      </c>
      <c r="F301" s="16" t="str">
        <f aca="false">IF(B301="","",C301*E301)</f>
        <v/>
      </c>
      <c r="G301" s="16" t="str">
        <f aca="false">IF(B301="","",C301*IFERROR(INDEX(Produtos!$D$5:$D$44,MATCH(B301,Produtos!$A$5:$A$44,0)),0))</f>
        <v/>
      </c>
      <c r="H301" s="16" t="str">
        <f aca="false">IF(B301="","",F301*IFERROR(INDEX(Despesas!$B$5:$B$8,MATCH(D301,Despesas!$A$5:$A$8,0)),0))</f>
        <v/>
      </c>
      <c r="I301" s="16" t="str">
        <f aca="false">IF(B301="","",F301-G301-H301)</f>
        <v/>
      </c>
    </row>
    <row r="302" customFormat="false" ht="15" hidden="false" customHeight="false" outlineLevel="0" collapsed="false">
      <c r="A302" s="34"/>
      <c r="B302" s="30"/>
      <c r="C302" s="30"/>
      <c r="D302" s="30"/>
      <c r="E302" s="16" t="str">
        <f aca="false">IF(B302="","",IFERROR(INDEX(Produtos!$C$5:$C$44,MATCH(B302,Produtos!$A$5:$A$44,0)),0))</f>
        <v/>
      </c>
      <c r="F302" s="16" t="str">
        <f aca="false">IF(B302="","",C302*E302)</f>
        <v/>
      </c>
      <c r="G302" s="16" t="str">
        <f aca="false">IF(B302="","",C302*IFERROR(INDEX(Produtos!$D$5:$D$44,MATCH(B302,Produtos!$A$5:$A$44,0)),0))</f>
        <v/>
      </c>
      <c r="H302" s="16" t="str">
        <f aca="false">IF(B302="","",F302*IFERROR(INDEX(Despesas!$B$5:$B$8,MATCH(D302,Despesas!$A$5:$A$8,0)),0))</f>
        <v/>
      </c>
      <c r="I302" s="16" t="str">
        <f aca="false">IF(B302="","",F302-G302-H302)</f>
        <v/>
      </c>
    </row>
    <row r="303" customFormat="false" ht="15" hidden="false" customHeight="false" outlineLevel="0" collapsed="false">
      <c r="A303" s="34"/>
      <c r="B303" s="30"/>
      <c r="C303" s="30"/>
      <c r="D303" s="30"/>
      <c r="E303" s="16" t="str">
        <f aca="false">IF(B303="","",IFERROR(INDEX(Produtos!$C$5:$C$44,MATCH(B303,Produtos!$A$5:$A$44,0)),0))</f>
        <v/>
      </c>
      <c r="F303" s="16" t="str">
        <f aca="false">IF(B303="","",C303*E303)</f>
        <v/>
      </c>
      <c r="G303" s="16" t="str">
        <f aca="false">IF(B303="","",C303*IFERROR(INDEX(Produtos!$D$5:$D$44,MATCH(B303,Produtos!$A$5:$A$44,0)),0))</f>
        <v/>
      </c>
      <c r="H303" s="16" t="str">
        <f aca="false">IF(B303="","",F303*IFERROR(INDEX(Despesas!$B$5:$B$8,MATCH(D303,Despesas!$A$5:$A$8,0)),0))</f>
        <v/>
      </c>
      <c r="I303" s="16" t="str">
        <f aca="false">IF(B303="","",F303-G303-H303)</f>
        <v/>
      </c>
    </row>
    <row r="304" customFormat="false" ht="15" hidden="false" customHeight="false" outlineLevel="0" collapsed="false">
      <c r="A304" s="34"/>
      <c r="B304" s="30"/>
      <c r="C304" s="30"/>
      <c r="D304" s="30"/>
      <c r="E304" s="16" t="str">
        <f aca="false">IF(B304="","",IFERROR(INDEX(Produtos!$C$5:$C$44,MATCH(B304,Produtos!$A$5:$A$44,0)),0))</f>
        <v/>
      </c>
      <c r="F304" s="16" t="str">
        <f aca="false">IF(B304="","",C304*E304)</f>
        <v/>
      </c>
      <c r="G304" s="16" t="str">
        <f aca="false">IF(B304="","",C304*IFERROR(INDEX(Produtos!$D$5:$D$44,MATCH(B304,Produtos!$A$5:$A$44,0)),0))</f>
        <v/>
      </c>
      <c r="H304" s="16" t="str">
        <f aca="false">IF(B304="","",F304*IFERROR(INDEX(Despesas!$B$5:$B$8,MATCH(D304,Despesas!$A$5:$A$8,0)),0))</f>
        <v/>
      </c>
      <c r="I304" s="16" t="str">
        <f aca="false">IF(B304="","",F304-G304-H304)</f>
        <v/>
      </c>
    </row>
    <row r="305" customFormat="false" ht="15" hidden="false" customHeight="false" outlineLevel="0" collapsed="false">
      <c r="A305" s="34"/>
      <c r="B305" s="30"/>
      <c r="C305" s="30"/>
      <c r="D305" s="30"/>
      <c r="E305" s="16" t="str">
        <f aca="false">IF(B305="","",IFERROR(INDEX(Produtos!$C$5:$C$44,MATCH(B305,Produtos!$A$5:$A$44,0)),0))</f>
        <v/>
      </c>
      <c r="F305" s="16" t="str">
        <f aca="false">IF(B305="","",C305*E305)</f>
        <v/>
      </c>
      <c r="G305" s="16" t="str">
        <f aca="false">IF(B305="","",C305*IFERROR(INDEX(Produtos!$D$5:$D$44,MATCH(B305,Produtos!$A$5:$A$44,0)),0))</f>
        <v/>
      </c>
      <c r="H305" s="16" t="str">
        <f aca="false">IF(B305="","",F305*IFERROR(INDEX(Despesas!$B$5:$B$8,MATCH(D305,Despesas!$A$5:$A$8,0)),0))</f>
        <v/>
      </c>
      <c r="I305" s="16" t="str">
        <f aca="false">IF(B305="","",F305-G305-H305)</f>
        <v/>
      </c>
    </row>
    <row r="306" customFormat="false" ht="15" hidden="false" customHeight="false" outlineLevel="0" collapsed="false">
      <c r="A306" s="34"/>
      <c r="B306" s="30"/>
      <c r="C306" s="30"/>
      <c r="D306" s="30"/>
      <c r="E306" s="16" t="str">
        <f aca="false">IF(B306="","",IFERROR(INDEX(Produtos!$C$5:$C$44,MATCH(B306,Produtos!$A$5:$A$44,0)),0))</f>
        <v/>
      </c>
      <c r="F306" s="16" t="str">
        <f aca="false">IF(B306="","",C306*E306)</f>
        <v/>
      </c>
      <c r="G306" s="16" t="str">
        <f aca="false">IF(B306="","",C306*IFERROR(INDEX(Produtos!$D$5:$D$44,MATCH(B306,Produtos!$A$5:$A$44,0)),0))</f>
        <v/>
      </c>
      <c r="H306" s="16" t="str">
        <f aca="false">IF(B306="","",F306*IFERROR(INDEX(Despesas!$B$5:$B$8,MATCH(D306,Despesas!$A$5:$A$8,0)),0))</f>
        <v/>
      </c>
      <c r="I306" s="16" t="str">
        <f aca="false">IF(B306="","",F306-G306-H306)</f>
        <v/>
      </c>
    </row>
    <row r="307" customFormat="false" ht="15" hidden="false" customHeight="false" outlineLevel="0" collapsed="false">
      <c r="A307" s="34"/>
      <c r="B307" s="30"/>
      <c r="C307" s="30"/>
      <c r="D307" s="30"/>
      <c r="E307" s="16" t="str">
        <f aca="false">IF(B307="","",IFERROR(INDEX(Produtos!$C$5:$C$44,MATCH(B307,Produtos!$A$5:$A$44,0)),0))</f>
        <v/>
      </c>
      <c r="F307" s="16" t="str">
        <f aca="false">IF(B307="","",C307*E307)</f>
        <v/>
      </c>
      <c r="G307" s="16" t="str">
        <f aca="false">IF(B307="","",C307*IFERROR(INDEX(Produtos!$D$5:$D$44,MATCH(B307,Produtos!$A$5:$A$44,0)),0))</f>
        <v/>
      </c>
      <c r="H307" s="16" t="str">
        <f aca="false">IF(B307="","",F307*IFERROR(INDEX(Despesas!$B$5:$B$8,MATCH(D307,Despesas!$A$5:$A$8,0)),0))</f>
        <v/>
      </c>
      <c r="I307" s="16" t="str">
        <f aca="false">IF(B307="","",F307-G307-H307)</f>
        <v/>
      </c>
    </row>
    <row r="308" customFormat="false" ht="15" hidden="false" customHeight="false" outlineLevel="0" collapsed="false">
      <c r="A308" s="34"/>
      <c r="B308" s="30"/>
      <c r="C308" s="30"/>
      <c r="D308" s="30"/>
      <c r="E308" s="16" t="str">
        <f aca="false">IF(B308="","",IFERROR(INDEX(Produtos!$C$5:$C$44,MATCH(B308,Produtos!$A$5:$A$44,0)),0))</f>
        <v/>
      </c>
      <c r="F308" s="16" t="str">
        <f aca="false">IF(B308="","",C308*E308)</f>
        <v/>
      </c>
      <c r="G308" s="16" t="str">
        <f aca="false">IF(B308="","",C308*IFERROR(INDEX(Produtos!$D$5:$D$44,MATCH(B308,Produtos!$A$5:$A$44,0)),0))</f>
        <v/>
      </c>
      <c r="H308" s="16" t="str">
        <f aca="false">IF(B308="","",F308*IFERROR(INDEX(Despesas!$B$5:$B$8,MATCH(D308,Despesas!$A$5:$A$8,0)),0))</f>
        <v/>
      </c>
      <c r="I308" s="16" t="str">
        <f aca="false">IF(B308="","",F308-G308-H308)</f>
        <v/>
      </c>
    </row>
    <row r="309" customFormat="false" ht="15" hidden="false" customHeight="false" outlineLevel="0" collapsed="false">
      <c r="A309" s="34"/>
      <c r="B309" s="30"/>
      <c r="C309" s="30"/>
      <c r="D309" s="30"/>
      <c r="E309" s="16" t="str">
        <f aca="false">IF(B309="","",IFERROR(INDEX(Produtos!$C$5:$C$44,MATCH(B309,Produtos!$A$5:$A$44,0)),0))</f>
        <v/>
      </c>
      <c r="F309" s="16" t="str">
        <f aca="false">IF(B309="","",C309*E309)</f>
        <v/>
      </c>
      <c r="G309" s="16" t="str">
        <f aca="false">IF(B309="","",C309*IFERROR(INDEX(Produtos!$D$5:$D$44,MATCH(B309,Produtos!$A$5:$A$44,0)),0))</f>
        <v/>
      </c>
      <c r="H309" s="16" t="str">
        <f aca="false">IF(B309="","",F309*IFERROR(INDEX(Despesas!$B$5:$B$8,MATCH(D309,Despesas!$A$5:$A$8,0)),0))</f>
        <v/>
      </c>
      <c r="I309" s="16" t="str">
        <f aca="false">IF(B309="","",F309-G309-H309)</f>
        <v/>
      </c>
    </row>
    <row r="310" customFormat="false" ht="15" hidden="false" customHeight="false" outlineLevel="0" collapsed="false">
      <c r="A310" s="34"/>
      <c r="B310" s="30"/>
      <c r="C310" s="30"/>
      <c r="D310" s="30"/>
      <c r="E310" s="16" t="str">
        <f aca="false">IF(B310="","",IFERROR(INDEX(Produtos!$C$5:$C$44,MATCH(B310,Produtos!$A$5:$A$44,0)),0))</f>
        <v/>
      </c>
      <c r="F310" s="16" t="str">
        <f aca="false">IF(B310="","",C310*E310)</f>
        <v/>
      </c>
      <c r="G310" s="16" t="str">
        <f aca="false">IF(B310="","",C310*IFERROR(INDEX(Produtos!$D$5:$D$44,MATCH(B310,Produtos!$A$5:$A$44,0)),0))</f>
        <v/>
      </c>
      <c r="H310" s="16" t="str">
        <f aca="false">IF(B310="","",F310*IFERROR(INDEX(Despesas!$B$5:$B$8,MATCH(D310,Despesas!$A$5:$A$8,0)),0))</f>
        <v/>
      </c>
      <c r="I310" s="16" t="str">
        <f aca="false">IF(B310="","",F310-G310-H310)</f>
        <v/>
      </c>
    </row>
    <row r="311" customFormat="false" ht="15" hidden="false" customHeight="false" outlineLevel="0" collapsed="false">
      <c r="A311" s="34"/>
      <c r="B311" s="30"/>
      <c r="C311" s="30"/>
      <c r="D311" s="30"/>
      <c r="E311" s="16" t="str">
        <f aca="false">IF(B311="","",IFERROR(INDEX(Produtos!$C$5:$C$44,MATCH(B311,Produtos!$A$5:$A$44,0)),0))</f>
        <v/>
      </c>
      <c r="F311" s="16" t="str">
        <f aca="false">IF(B311="","",C311*E311)</f>
        <v/>
      </c>
      <c r="G311" s="16" t="str">
        <f aca="false">IF(B311="","",C311*IFERROR(INDEX(Produtos!$D$5:$D$44,MATCH(B311,Produtos!$A$5:$A$44,0)),0))</f>
        <v/>
      </c>
      <c r="H311" s="16" t="str">
        <f aca="false">IF(B311="","",F311*IFERROR(INDEX(Despesas!$B$5:$B$8,MATCH(D311,Despesas!$A$5:$A$8,0)),0))</f>
        <v/>
      </c>
      <c r="I311" s="16" t="str">
        <f aca="false">IF(B311="","",F311-G311-H311)</f>
        <v/>
      </c>
    </row>
    <row r="312" customFormat="false" ht="15" hidden="false" customHeight="false" outlineLevel="0" collapsed="false">
      <c r="A312" s="34"/>
      <c r="B312" s="30"/>
      <c r="C312" s="30"/>
      <c r="D312" s="30"/>
      <c r="E312" s="16" t="str">
        <f aca="false">IF(B312="","",IFERROR(INDEX(Produtos!$C$5:$C$44,MATCH(B312,Produtos!$A$5:$A$44,0)),0))</f>
        <v/>
      </c>
      <c r="F312" s="16" t="str">
        <f aca="false">IF(B312="","",C312*E312)</f>
        <v/>
      </c>
      <c r="G312" s="16" t="str">
        <f aca="false">IF(B312="","",C312*IFERROR(INDEX(Produtos!$D$5:$D$44,MATCH(B312,Produtos!$A$5:$A$44,0)),0))</f>
        <v/>
      </c>
      <c r="H312" s="16" t="str">
        <f aca="false">IF(B312="","",F312*IFERROR(INDEX(Despesas!$B$5:$B$8,MATCH(D312,Despesas!$A$5:$A$8,0)),0))</f>
        <v/>
      </c>
      <c r="I312" s="16" t="str">
        <f aca="false">IF(B312="","",F312-G312-H312)</f>
        <v/>
      </c>
    </row>
    <row r="313" customFormat="false" ht="15" hidden="false" customHeight="false" outlineLevel="0" collapsed="false">
      <c r="A313" s="34"/>
      <c r="B313" s="30"/>
      <c r="C313" s="30"/>
      <c r="D313" s="30"/>
      <c r="E313" s="16" t="str">
        <f aca="false">IF(B313="","",IFERROR(INDEX(Produtos!$C$5:$C$44,MATCH(B313,Produtos!$A$5:$A$44,0)),0))</f>
        <v/>
      </c>
      <c r="F313" s="16" t="str">
        <f aca="false">IF(B313="","",C313*E313)</f>
        <v/>
      </c>
      <c r="G313" s="16" t="str">
        <f aca="false">IF(B313="","",C313*IFERROR(INDEX(Produtos!$D$5:$D$44,MATCH(B313,Produtos!$A$5:$A$44,0)),0))</f>
        <v/>
      </c>
      <c r="H313" s="16" t="str">
        <f aca="false">IF(B313="","",F313*IFERROR(INDEX(Despesas!$B$5:$B$8,MATCH(D313,Despesas!$A$5:$A$8,0)),0))</f>
        <v/>
      </c>
      <c r="I313" s="16" t="str">
        <f aca="false">IF(B313="","",F313-G313-H313)</f>
        <v/>
      </c>
    </row>
    <row r="314" customFormat="false" ht="15" hidden="false" customHeight="false" outlineLevel="0" collapsed="false">
      <c r="A314" s="34"/>
      <c r="B314" s="30"/>
      <c r="C314" s="30"/>
      <c r="D314" s="30"/>
      <c r="E314" s="16" t="str">
        <f aca="false">IF(B314="","",IFERROR(INDEX(Produtos!$C$5:$C$44,MATCH(B314,Produtos!$A$5:$A$44,0)),0))</f>
        <v/>
      </c>
      <c r="F314" s="16" t="str">
        <f aca="false">IF(B314="","",C314*E314)</f>
        <v/>
      </c>
      <c r="G314" s="16" t="str">
        <f aca="false">IF(B314="","",C314*IFERROR(INDEX(Produtos!$D$5:$D$44,MATCH(B314,Produtos!$A$5:$A$44,0)),0))</f>
        <v/>
      </c>
      <c r="H314" s="16" t="str">
        <f aca="false">IF(B314="","",F314*IFERROR(INDEX(Despesas!$B$5:$B$8,MATCH(D314,Despesas!$A$5:$A$8,0)),0))</f>
        <v/>
      </c>
      <c r="I314" s="16" t="str">
        <f aca="false">IF(B314="","",F314-G314-H314)</f>
        <v/>
      </c>
    </row>
    <row r="315" customFormat="false" ht="15" hidden="false" customHeight="false" outlineLevel="0" collapsed="false">
      <c r="A315" s="34"/>
      <c r="B315" s="30"/>
      <c r="C315" s="30"/>
      <c r="D315" s="30"/>
      <c r="E315" s="16" t="str">
        <f aca="false">IF(B315="","",IFERROR(INDEX(Produtos!$C$5:$C$44,MATCH(B315,Produtos!$A$5:$A$44,0)),0))</f>
        <v/>
      </c>
      <c r="F315" s="16" t="str">
        <f aca="false">IF(B315="","",C315*E315)</f>
        <v/>
      </c>
      <c r="G315" s="16" t="str">
        <f aca="false">IF(B315="","",C315*IFERROR(INDEX(Produtos!$D$5:$D$44,MATCH(B315,Produtos!$A$5:$A$44,0)),0))</f>
        <v/>
      </c>
      <c r="H315" s="16" t="str">
        <f aca="false">IF(B315="","",F315*IFERROR(INDEX(Despesas!$B$5:$B$8,MATCH(D315,Despesas!$A$5:$A$8,0)),0))</f>
        <v/>
      </c>
      <c r="I315" s="16" t="str">
        <f aca="false">IF(B315="","",F315-G315-H315)</f>
        <v/>
      </c>
    </row>
    <row r="316" customFormat="false" ht="15" hidden="false" customHeight="false" outlineLevel="0" collapsed="false">
      <c r="A316" s="34"/>
      <c r="B316" s="30"/>
      <c r="C316" s="30"/>
      <c r="D316" s="30"/>
      <c r="E316" s="16" t="str">
        <f aca="false">IF(B316="","",IFERROR(INDEX(Produtos!$C$5:$C$44,MATCH(B316,Produtos!$A$5:$A$44,0)),0))</f>
        <v/>
      </c>
      <c r="F316" s="16" t="str">
        <f aca="false">IF(B316="","",C316*E316)</f>
        <v/>
      </c>
      <c r="G316" s="16" t="str">
        <f aca="false">IF(B316="","",C316*IFERROR(INDEX(Produtos!$D$5:$D$44,MATCH(B316,Produtos!$A$5:$A$44,0)),0))</f>
        <v/>
      </c>
      <c r="H316" s="16" t="str">
        <f aca="false">IF(B316="","",F316*IFERROR(INDEX(Despesas!$B$5:$B$8,MATCH(D316,Despesas!$A$5:$A$8,0)),0))</f>
        <v/>
      </c>
      <c r="I316" s="16" t="str">
        <f aca="false">IF(B316="","",F316-G316-H316)</f>
        <v/>
      </c>
    </row>
    <row r="317" customFormat="false" ht="15" hidden="false" customHeight="false" outlineLevel="0" collapsed="false">
      <c r="A317" s="34"/>
      <c r="B317" s="30"/>
      <c r="C317" s="30"/>
      <c r="D317" s="30"/>
      <c r="E317" s="16" t="str">
        <f aca="false">IF(B317="","",IFERROR(INDEX(Produtos!$C$5:$C$44,MATCH(B317,Produtos!$A$5:$A$44,0)),0))</f>
        <v/>
      </c>
      <c r="F317" s="16" t="str">
        <f aca="false">IF(B317="","",C317*E317)</f>
        <v/>
      </c>
      <c r="G317" s="16" t="str">
        <f aca="false">IF(B317="","",C317*IFERROR(INDEX(Produtos!$D$5:$D$44,MATCH(B317,Produtos!$A$5:$A$44,0)),0))</f>
        <v/>
      </c>
      <c r="H317" s="16" t="str">
        <f aca="false">IF(B317="","",F317*IFERROR(INDEX(Despesas!$B$5:$B$8,MATCH(D317,Despesas!$A$5:$A$8,0)),0))</f>
        <v/>
      </c>
      <c r="I317" s="16" t="str">
        <f aca="false">IF(B317="","",F317-G317-H317)</f>
        <v/>
      </c>
    </row>
    <row r="318" customFormat="false" ht="15" hidden="false" customHeight="false" outlineLevel="0" collapsed="false">
      <c r="A318" s="34"/>
      <c r="B318" s="30"/>
      <c r="C318" s="30"/>
      <c r="D318" s="30"/>
      <c r="E318" s="16" t="str">
        <f aca="false">IF(B318="","",IFERROR(INDEX(Produtos!$C$5:$C$44,MATCH(B318,Produtos!$A$5:$A$44,0)),0))</f>
        <v/>
      </c>
      <c r="F318" s="16" t="str">
        <f aca="false">IF(B318="","",C318*E318)</f>
        <v/>
      </c>
      <c r="G318" s="16" t="str">
        <f aca="false">IF(B318="","",C318*IFERROR(INDEX(Produtos!$D$5:$D$44,MATCH(B318,Produtos!$A$5:$A$44,0)),0))</f>
        <v/>
      </c>
      <c r="H318" s="16" t="str">
        <f aca="false">IF(B318="","",F318*IFERROR(INDEX(Despesas!$B$5:$B$8,MATCH(D318,Despesas!$A$5:$A$8,0)),0))</f>
        <v/>
      </c>
      <c r="I318" s="16" t="str">
        <f aca="false">IF(B318="","",F318-G318-H318)</f>
        <v/>
      </c>
    </row>
    <row r="319" customFormat="false" ht="15" hidden="false" customHeight="false" outlineLevel="0" collapsed="false">
      <c r="A319" s="34"/>
      <c r="B319" s="30"/>
      <c r="C319" s="30"/>
      <c r="D319" s="30"/>
      <c r="E319" s="16" t="str">
        <f aca="false">IF(B319="","",IFERROR(INDEX(Produtos!$C$5:$C$44,MATCH(B319,Produtos!$A$5:$A$44,0)),0))</f>
        <v/>
      </c>
      <c r="F319" s="16" t="str">
        <f aca="false">IF(B319="","",C319*E319)</f>
        <v/>
      </c>
      <c r="G319" s="16" t="str">
        <f aca="false">IF(B319="","",C319*IFERROR(INDEX(Produtos!$D$5:$D$44,MATCH(B319,Produtos!$A$5:$A$44,0)),0))</f>
        <v/>
      </c>
      <c r="H319" s="16" t="str">
        <f aca="false">IF(B319="","",F319*IFERROR(INDEX(Despesas!$B$5:$B$8,MATCH(D319,Despesas!$A$5:$A$8,0)),0))</f>
        <v/>
      </c>
      <c r="I319" s="16" t="str">
        <f aca="false">IF(B319="","",F319-G319-H319)</f>
        <v/>
      </c>
    </row>
    <row r="320" customFormat="false" ht="15" hidden="false" customHeight="false" outlineLevel="0" collapsed="false">
      <c r="A320" s="34"/>
      <c r="B320" s="30"/>
      <c r="C320" s="30"/>
      <c r="D320" s="30"/>
      <c r="E320" s="16" t="str">
        <f aca="false">IF(B320="","",IFERROR(INDEX(Produtos!$C$5:$C$44,MATCH(B320,Produtos!$A$5:$A$44,0)),0))</f>
        <v/>
      </c>
      <c r="F320" s="16" t="str">
        <f aca="false">IF(B320="","",C320*E320)</f>
        <v/>
      </c>
      <c r="G320" s="16" t="str">
        <f aca="false">IF(B320="","",C320*IFERROR(INDEX(Produtos!$D$5:$D$44,MATCH(B320,Produtos!$A$5:$A$44,0)),0))</f>
        <v/>
      </c>
      <c r="H320" s="16" t="str">
        <f aca="false">IF(B320="","",F320*IFERROR(INDEX(Despesas!$B$5:$B$8,MATCH(D320,Despesas!$A$5:$A$8,0)),0))</f>
        <v/>
      </c>
      <c r="I320" s="16" t="str">
        <f aca="false">IF(B320="","",F320-G320-H320)</f>
        <v/>
      </c>
    </row>
    <row r="321" customFormat="false" ht="15" hidden="false" customHeight="false" outlineLevel="0" collapsed="false">
      <c r="A321" s="34"/>
      <c r="B321" s="30"/>
      <c r="C321" s="30"/>
      <c r="D321" s="30"/>
      <c r="E321" s="16" t="str">
        <f aca="false">IF(B321="","",IFERROR(INDEX(Produtos!$C$5:$C$44,MATCH(B321,Produtos!$A$5:$A$44,0)),0))</f>
        <v/>
      </c>
      <c r="F321" s="16" t="str">
        <f aca="false">IF(B321="","",C321*E321)</f>
        <v/>
      </c>
      <c r="G321" s="16" t="str">
        <f aca="false">IF(B321="","",C321*IFERROR(INDEX(Produtos!$D$5:$D$44,MATCH(B321,Produtos!$A$5:$A$44,0)),0))</f>
        <v/>
      </c>
      <c r="H321" s="16" t="str">
        <f aca="false">IF(B321="","",F321*IFERROR(INDEX(Despesas!$B$5:$B$8,MATCH(D321,Despesas!$A$5:$A$8,0)),0))</f>
        <v/>
      </c>
      <c r="I321" s="16" t="str">
        <f aca="false">IF(B321="","",F321-G321-H321)</f>
        <v/>
      </c>
    </row>
    <row r="322" customFormat="false" ht="15" hidden="false" customHeight="false" outlineLevel="0" collapsed="false">
      <c r="A322" s="34"/>
      <c r="B322" s="30"/>
      <c r="C322" s="30"/>
      <c r="D322" s="30"/>
      <c r="E322" s="16" t="str">
        <f aca="false">IF(B322="","",IFERROR(INDEX(Produtos!$C$5:$C$44,MATCH(B322,Produtos!$A$5:$A$44,0)),0))</f>
        <v/>
      </c>
      <c r="F322" s="16" t="str">
        <f aca="false">IF(B322="","",C322*E322)</f>
        <v/>
      </c>
      <c r="G322" s="16" t="str">
        <f aca="false">IF(B322="","",C322*IFERROR(INDEX(Produtos!$D$5:$D$44,MATCH(B322,Produtos!$A$5:$A$44,0)),0))</f>
        <v/>
      </c>
      <c r="H322" s="16" t="str">
        <f aca="false">IF(B322="","",F322*IFERROR(INDEX(Despesas!$B$5:$B$8,MATCH(D322,Despesas!$A$5:$A$8,0)),0))</f>
        <v/>
      </c>
      <c r="I322" s="16" t="str">
        <f aca="false">IF(B322="","",F322-G322-H322)</f>
        <v/>
      </c>
    </row>
    <row r="323" customFormat="false" ht="15" hidden="false" customHeight="false" outlineLevel="0" collapsed="false">
      <c r="A323" s="34"/>
      <c r="B323" s="30"/>
      <c r="C323" s="30"/>
      <c r="D323" s="30"/>
      <c r="E323" s="16" t="str">
        <f aca="false">IF(B323="","",IFERROR(INDEX(Produtos!$C$5:$C$44,MATCH(B323,Produtos!$A$5:$A$44,0)),0))</f>
        <v/>
      </c>
      <c r="F323" s="16" t="str">
        <f aca="false">IF(B323="","",C323*E323)</f>
        <v/>
      </c>
      <c r="G323" s="16" t="str">
        <f aca="false">IF(B323="","",C323*IFERROR(INDEX(Produtos!$D$5:$D$44,MATCH(B323,Produtos!$A$5:$A$44,0)),0))</f>
        <v/>
      </c>
      <c r="H323" s="16" t="str">
        <f aca="false">IF(B323="","",F323*IFERROR(INDEX(Despesas!$B$5:$B$8,MATCH(D323,Despesas!$A$5:$A$8,0)),0))</f>
        <v/>
      </c>
      <c r="I323" s="16" t="str">
        <f aca="false">IF(B323="","",F323-G323-H323)</f>
        <v/>
      </c>
    </row>
    <row r="324" customFormat="false" ht="15" hidden="false" customHeight="false" outlineLevel="0" collapsed="false">
      <c r="A324" s="34"/>
      <c r="B324" s="30"/>
      <c r="C324" s="30"/>
      <c r="D324" s="30"/>
      <c r="E324" s="16" t="str">
        <f aca="false">IF(B324="","",IFERROR(INDEX(Produtos!$C$5:$C$44,MATCH(B324,Produtos!$A$5:$A$44,0)),0))</f>
        <v/>
      </c>
      <c r="F324" s="16" t="str">
        <f aca="false">IF(B324="","",C324*E324)</f>
        <v/>
      </c>
      <c r="G324" s="16" t="str">
        <f aca="false">IF(B324="","",C324*IFERROR(INDEX(Produtos!$D$5:$D$44,MATCH(B324,Produtos!$A$5:$A$44,0)),0))</f>
        <v/>
      </c>
      <c r="H324" s="16" t="str">
        <f aca="false">IF(B324="","",F324*IFERROR(INDEX(Despesas!$B$5:$B$8,MATCH(D324,Despesas!$A$5:$A$8,0)),0))</f>
        <v/>
      </c>
      <c r="I324" s="16" t="str">
        <f aca="false">IF(B324="","",F324-G324-H324)</f>
        <v/>
      </c>
    </row>
    <row r="325" customFormat="false" ht="15" hidden="false" customHeight="false" outlineLevel="0" collapsed="false">
      <c r="A325" s="34"/>
      <c r="B325" s="30"/>
      <c r="C325" s="30"/>
      <c r="D325" s="30"/>
      <c r="E325" s="16" t="str">
        <f aca="false">IF(B325="","",IFERROR(INDEX(Produtos!$C$5:$C$44,MATCH(B325,Produtos!$A$5:$A$44,0)),0))</f>
        <v/>
      </c>
      <c r="F325" s="16" t="str">
        <f aca="false">IF(B325="","",C325*E325)</f>
        <v/>
      </c>
      <c r="G325" s="16" t="str">
        <f aca="false">IF(B325="","",C325*IFERROR(INDEX(Produtos!$D$5:$D$44,MATCH(B325,Produtos!$A$5:$A$44,0)),0))</f>
        <v/>
      </c>
      <c r="H325" s="16" t="str">
        <f aca="false">IF(B325="","",F325*IFERROR(INDEX(Despesas!$B$5:$B$8,MATCH(D325,Despesas!$A$5:$A$8,0)),0))</f>
        <v/>
      </c>
      <c r="I325" s="16" t="str">
        <f aca="false">IF(B325="","",F325-G325-H325)</f>
        <v/>
      </c>
    </row>
    <row r="326" customFormat="false" ht="15" hidden="false" customHeight="false" outlineLevel="0" collapsed="false">
      <c r="A326" s="34"/>
      <c r="B326" s="30"/>
      <c r="C326" s="30"/>
      <c r="D326" s="30"/>
      <c r="E326" s="16" t="str">
        <f aca="false">IF(B326="","",IFERROR(INDEX(Produtos!$C$5:$C$44,MATCH(B326,Produtos!$A$5:$A$44,0)),0))</f>
        <v/>
      </c>
      <c r="F326" s="16" t="str">
        <f aca="false">IF(B326="","",C326*E326)</f>
        <v/>
      </c>
      <c r="G326" s="16" t="str">
        <f aca="false">IF(B326="","",C326*IFERROR(INDEX(Produtos!$D$5:$D$44,MATCH(B326,Produtos!$A$5:$A$44,0)),0))</f>
        <v/>
      </c>
      <c r="H326" s="16" t="str">
        <f aca="false">IF(B326="","",F326*IFERROR(INDEX(Despesas!$B$5:$B$8,MATCH(D326,Despesas!$A$5:$A$8,0)),0))</f>
        <v/>
      </c>
      <c r="I326" s="16" t="str">
        <f aca="false">IF(B326="","",F326-G326-H326)</f>
        <v/>
      </c>
    </row>
    <row r="327" customFormat="false" ht="15" hidden="false" customHeight="false" outlineLevel="0" collapsed="false">
      <c r="A327" s="34"/>
      <c r="B327" s="30"/>
      <c r="C327" s="30"/>
      <c r="D327" s="30"/>
      <c r="E327" s="16" t="str">
        <f aca="false">IF(B327="","",IFERROR(INDEX(Produtos!$C$5:$C$44,MATCH(B327,Produtos!$A$5:$A$44,0)),0))</f>
        <v/>
      </c>
      <c r="F327" s="16" t="str">
        <f aca="false">IF(B327="","",C327*E327)</f>
        <v/>
      </c>
      <c r="G327" s="16" t="str">
        <f aca="false">IF(B327="","",C327*IFERROR(INDEX(Produtos!$D$5:$D$44,MATCH(B327,Produtos!$A$5:$A$44,0)),0))</f>
        <v/>
      </c>
      <c r="H327" s="16" t="str">
        <f aca="false">IF(B327="","",F327*IFERROR(INDEX(Despesas!$B$5:$B$8,MATCH(D327,Despesas!$A$5:$A$8,0)),0))</f>
        <v/>
      </c>
      <c r="I327" s="16" t="str">
        <f aca="false">IF(B327="","",F327-G327-H327)</f>
        <v/>
      </c>
    </row>
    <row r="328" customFormat="false" ht="15" hidden="false" customHeight="false" outlineLevel="0" collapsed="false">
      <c r="A328" s="34"/>
      <c r="B328" s="30"/>
      <c r="C328" s="30"/>
      <c r="D328" s="30"/>
      <c r="E328" s="16" t="str">
        <f aca="false">IF(B328="","",IFERROR(INDEX(Produtos!$C$5:$C$44,MATCH(B328,Produtos!$A$5:$A$44,0)),0))</f>
        <v/>
      </c>
      <c r="F328" s="16" t="str">
        <f aca="false">IF(B328="","",C328*E328)</f>
        <v/>
      </c>
      <c r="G328" s="16" t="str">
        <f aca="false">IF(B328="","",C328*IFERROR(INDEX(Produtos!$D$5:$D$44,MATCH(B328,Produtos!$A$5:$A$44,0)),0))</f>
        <v/>
      </c>
      <c r="H328" s="16" t="str">
        <f aca="false">IF(B328="","",F328*IFERROR(INDEX(Despesas!$B$5:$B$8,MATCH(D328,Despesas!$A$5:$A$8,0)),0))</f>
        <v/>
      </c>
      <c r="I328" s="16" t="str">
        <f aca="false">IF(B328="","",F328-G328-H328)</f>
        <v/>
      </c>
    </row>
    <row r="329" customFormat="false" ht="15" hidden="false" customHeight="false" outlineLevel="0" collapsed="false">
      <c r="A329" s="34"/>
      <c r="B329" s="30"/>
      <c r="C329" s="30"/>
      <c r="D329" s="30"/>
      <c r="E329" s="16" t="str">
        <f aca="false">IF(B329="","",IFERROR(INDEX(Produtos!$C$5:$C$44,MATCH(B329,Produtos!$A$5:$A$44,0)),0))</f>
        <v/>
      </c>
      <c r="F329" s="16" t="str">
        <f aca="false">IF(B329="","",C329*E329)</f>
        <v/>
      </c>
      <c r="G329" s="16" t="str">
        <f aca="false">IF(B329="","",C329*IFERROR(INDEX(Produtos!$D$5:$D$44,MATCH(B329,Produtos!$A$5:$A$44,0)),0))</f>
        <v/>
      </c>
      <c r="H329" s="16" t="str">
        <f aca="false">IF(B329="","",F329*IFERROR(INDEX(Despesas!$B$5:$B$8,MATCH(D329,Despesas!$A$5:$A$8,0)),0))</f>
        <v/>
      </c>
      <c r="I329" s="16" t="str">
        <f aca="false">IF(B329="","",F329-G329-H329)</f>
        <v/>
      </c>
    </row>
    <row r="330" customFormat="false" ht="15" hidden="false" customHeight="false" outlineLevel="0" collapsed="false">
      <c r="A330" s="34"/>
      <c r="B330" s="30"/>
      <c r="C330" s="30"/>
      <c r="D330" s="30"/>
      <c r="E330" s="16" t="str">
        <f aca="false">IF(B330="","",IFERROR(INDEX(Produtos!$C$5:$C$44,MATCH(B330,Produtos!$A$5:$A$44,0)),0))</f>
        <v/>
      </c>
      <c r="F330" s="16" t="str">
        <f aca="false">IF(B330="","",C330*E330)</f>
        <v/>
      </c>
      <c r="G330" s="16" t="str">
        <f aca="false">IF(B330="","",C330*IFERROR(INDEX(Produtos!$D$5:$D$44,MATCH(B330,Produtos!$A$5:$A$44,0)),0))</f>
        <v/>
      </c>
      <c r="H330" s="16" t="str">
        <f aca="false">IF(B330="","",F330*IFERROR(INDEX(Despesas!$B$5:$B$8,MATCH(D330,Despesas!$A$5:$A$8,0)),0))</f>
        <v/>
      </c>
      <c r="I330" s="16" t="str">
        <f aca="false">IF(B330="","",F330-G330-H330)</f>
        <v/>
      </c>
    </row>
    <row r="331" customFormat="false" ht="15" hidden="false" customHeight="false" outlineLevel="0" collapsed="false">
      <c r="A331" s="34"/>
      <c r="B331" s="30"/>
      <c r="C331" s="30"/>
      <c r="D331" s="30"/>
      <c r="E331" s="16" t="str">
        <f aca="false">IF(B331="","",IFERROR(INDEX(Produtos!$C$5:$C$44,MATCH(B331,Produtos!$A$5:$A$44,0)),0))</f>
        <v/>
      </c>
      <c r="F331" s="16" t="str">
        <f aca="false">IF(B331="","",C331*E331)</f>
        <v/>
      </c>
      <c r="G331" s="16" t="str">
        <f aca="false">IF(B331="","",C331*IFERROR(INDEX(Produtos!$D$5:$D$44,MATCH(B331,Produtos!$A$5:$A$44,0)),0))</f>
        <v/>
      </c>
      <c r="H331" s="16" t="str">
        <f aca="false">IF(B331="","",F331*IFERROR(INDEX(Despesas!$B$5:$B$8,MATCH(D331,Despesas!$A$5:$A$8,0)),0))</f>
        <v/>
      </c>
      <c r="I331" s="16" t="str">
        <f aca="false">IF(B331="","",F331-G331-H331)</f>
        <v/>
      </c>
    </row>
    <row r="332" customFormat="false" ht="15" hidden="false" customHeight="false" outlineLevel="0" collapsed="false">
      <c r="A332" s="34"/>
      <c r="B332" s="30"/>
      <c r="C332" s="30"/>
      <c r="D332" s="30"/>
      <c r="E332" s="16" t="str">
        <f aca="false">IF(B332="","",IFERROR(INDEX(Produtos!$C$5:$C$44,MATCH(B332,Produtos!$A$5:$A$44,0)),0))</f>
        <v/>
      </c>
      <c r="F332" s="16" t="str">
        <f aca="false">IF(B332="","",C332*E332)</f>
        <v/>
      </c>
      <c r="G332" s="16" t="str">
        <f aca="false">IF(B332="","",C332*IFERROR(INDEX(Produtos!$D$5:$D$44,MATCH(B332,Produtos!$A$5:$A$44,0)),0))</f>
        <v/>
      </c>
      <c r="H332" s="16" t="str">
        <f aca="false">IF(B332="","",F332*IFERROR(INDEX(Despesas!$B$5:$B$8,MATCH(D332,Despesas!$A$5:$A$8,0)),0))</f>
        <v/>
      </c>
      <c r="I332" s="16" t="str">
        <f aca="false">IF(B332="","",F332-G332-H332)</f>
        <v/>
      </c>
    </row>
    <row r="333" customFormat="false" ht="15" hidden="false" customHeight="false" outlineLevel="0" collapsed="false">
      <c r="A333" s="34"/>
      <c r="B333" s="30"/>
      <c r="C333" s="30"/>
      <c r="D333" s="30"/>
      <c r="E333" s="16" t="str">
        <f aca="false">IF(B333="","",IFERROR(INDEX(Produtos!$C$5:$C$44,MATCH(B333,Produtos!$A$5:$A$44,0)),0))</f>
        <v/>
      </c>
      <c r="F333" s="16" t="str">
        <f aca="false">IF(B333="","",C333*E333)</f>
        <v/>
      </c>
      <c r="G333" s="16" t="str">
        <f aca="false">IF(B333="","",C333*IFERROR(INDEX(Produtos!$D$5:$D$44,MATCH(B333,Produtos!$A$5:$A$44,0)),0))</f>
        <v/>
      </c>
      <c r="H333" s="16" t="str">
        <f aca="false">IF(B333="","",F333*IFERROR(INDEX(Despesas!$B$5:$B$8,MATCH(D333,Despesas!$A$5:$A$8,0)),0))</f>
        <v/>
      </c>
      <c r="I333" s="16" t="str">
        <f aca="false">IF(B333="","",F333-G333-H333)</f>
        <v/>
      </c>
    </row>
    <row r="334" customFormat="false" ht="15" hidden="false" customHeight="false" outlineLevel="0" collapsed="false">
      <c r="A334" s="34"/>
      <c r="B334" s="30"/>
      <c r="C334" s="30"/>
      <c r="D334" s="30"/>
      <c r="E334" s="16" t="str">
        <f aca="false">IF(B334="","",IFERROR(INDEX(Produtos!$C$5:$C$44,MATCH(B334,Produtos!$A$5:$A$44,0)),0))</f>
        <v/>
      </c>
      <c r="F334" s="16" t="str">
        <f aca="false">IF(B334="","",C334*E334)</f>
        <v/>
      </c>
      <c r="G334" s="16" t="str">
        <f aca="false">IF(B334="","",C334*IFERROR(INDEX(Produtos!$D$5:$D$44,MATCH(B334,Produtos!$A$5:$A$44,0)),0))</f>
        <v/>
      </c>
      <c r="H334" s="16" t="str">
        <f aca="false">IF(B334="","",F334*IFERROR(INDEX(Despesas!$B$5:$B$8,MATCH(D334,Despesas!$A$5:$A$8,0)),0))</f>
        <v/>
      </c>
      <c r="I334" s="16" t="str">
        <f aca="false">IF(B334="","",F334-G334-H334)</f>
        <v/>
      </c>
    </row>
    <row r="335" customFormat="false" ht="15" hidden="false" customHeight="false" outlineLevel="0" collapsed="false">
      <c r="A335" s="34"/>
      <c r="B335" s="30"/>
      <c r="C335" s="30"/>
      <c r="D335" s="30"/>
      <c r="E335" s="16" t="str">
        <f aca="false">IF(B335="","",IFERROR(INDEX(Produtos!$C$5:$C$44,MATCH(B335,Produtos!$A$5:$A$44,0)),0))</f>
        <v/>
      </c>
      <c r="F335" s="16" t="str">
        <f aca="false">IF(B335="","",C335*E335)</f>
        <v/>
      </c>
      <c r="G335" s="16" t="str">
        <f aca="false">IF(B335="","",C335*IFERROR(INDEX(Produtos!$D$5:$D$44,MATCH(B335,Produtos!$A$5:$A$44,0)),0))</f>
        <v/>
      </c>
      <c r="H335" s="16" t="str">
        <f aca="false">IF(B335="","",F335*IFERROR(INDEX(Despesas!$B$5:$B$8,MATCH(D335,Despesas!$A$5:$A$8,0)),0))</f>
        <v/>
      </c>
      <c r="I335" s="16" t="str">
        <f aca="false">IF(B335="","",F335-G335-H335)</f>
        <v/>
      </c>
    </row>
    <row r="336" customFormat="false" ht="15" hidden="false" customHeight="false" outlineLevel="0" collapsed="false">
      <c r="A336" s="34"/>
      <c r="B336" s="30"/>
      <c r="C336" s="30"/>
      <c r="D336" s="30"/>
      <c r="E336" s="16" t="str">
        <f aca="false">IF(B336="","",IFERROR(INDEX(Produtos!$C$5:$C$44,MATCH(B336,Produtos!$A$5:$A$44,0)),0))</f>
        <v/>
      </c>
      <c r="F336" s="16" t="str">
        <f aca="false">IF(B336="","",C336*E336)</f>
        <v/>
      </c>
      <c r="G336" s="16" t="str">
        <f aca="false">IF(B336="","",C336*IFERROR(INDEX(Produtos!$D$5:$D$44,MATCH(B336,Produtos!$A$5:$A$44,0)),0))</f>
        <v/>
      </c>
      <c r="H336" s="16" t="str">
        <f aca="false">IF(B336="","",F336*IFERROR(INDEX(Despesas!$B$5:$B$8,MATCH(D336,Despesas!$A$5:$A$8,0)),0))</f>
        <v/>
      </c>
      <c r="I336" s="16" t="str">
        <f aca="false">IF(B336="","",F336-G336-H336)</f>
        <v/>
      </c>
    </row>
    <row r="337" customFormat="false" ht="15" hidden="false" customHeight="false" outlineLevel="0" collapsed="false">
      <c r="A337" s="34"/>
      <c r="B337" s="30"/>
      <c r="C337" s="30"/>
      <c r="D337" s="30"/>
      <c r="E337" s="16" t="str">
        <f aca="false">IF(B337="","",IFERROR(INDEX(Produtos!$C$5:$C$44,MATCH(B337,Produtos!$A$5:$A$44,0)),0))</f>
        <v/>
      </c>
      <c r="F337" s="16" t="str">
        <f aca="false">IF(B337="","",C337*E337)</f>
        <v/>
      </c>
      <c r="G337" s="16" t="str">
        <f aca="false">IF(B337="","",C337*IFERROR(INDEX(Produtos!$D$5:$D$44,MATCH(B337,Produtos!$A$5:$A$44,0)),0))</f>
        <v/>
      </c>
      <c r="H337" s="16" t="str">
        <f aca="false">IF(B337="","",F337*IFERROR(INDEX(Despesas!$B$5:$B$8,MATCH(D337,Despesas!$A$5:$A$8,0)),0))</f>
        <v/>
      </c>
      <c r="I337" s="16" t="str">
        <f aca="false">IF(B337="","",F337-G337-H337)</f>
        <v/>
      </c>
    </row>
    <row r="338" customFormat="false" ht="15" hidden="false" customHeight="false" outlineLevel="0" collapsed="false">
      <c r="A338" s="34"/>
      <c r="B338" s="30"/>
      <c r="C338" s="30"/>
      <c r="D338" s="30"/>
      <c r="E338" s="16" t="str">
        <f aca="false">IF(B338="","",IFERROR(INDEX(Produtos!$C$5:$C$44,MATCH(B338,Produtos!$A$5:$A$44,0)),0))</f>
        <v/>
      </c>
      <c r="F338" s="16" t="str">
        <f aca="false">IF(B338="","",C338*E338)</f>
        <v/>
      </c>
      <c r="G338" s="16" t="str">
        <f aca="false">IF(B338="","",C338*IFERROR(INDEX(Produtos!$D$5:$D$44,MATCH(B338,Produtos!$A$5:$A$44,0)),0))</f>
        <v/>
      </c>
      <c r="H338" s="16" t="str">
        <f aca="false">IF(B338="","",F338*IFERROR(INDEX(Despesas!$B$5:$B$8,MATCH(D338,Despesas!$A$5:$A$8,0)),0))</f>
        <v/>
      </c>
      <c r="I338" s="16" t="str">
        <f aca="false">IF(B338="","",F338-G338-H338)</f>
        <v/>
      </c>
    </row>
    <row r="339" customFormat="false" ht="15" hidden="false" customHeight="false" outlineLevel="0" collapsed="false">
      <c r="A339" s="34"/>
      <c r="B339" s="30"/>
      <c r="C339" s="30"/>
      <c r="D339" s="30"/>
      <c r="E339" s="16" t="str">
        <f aca="false">IF(B339="","",IFERROR(INDEX(Produtos!$C$5:$C$44,MATCH(B339,Produtos!$A$5:$A$44,0)),0))</f>
        <v/>
      </c>
      <c r="F339" s="16" t="str">
        <f aca="false">IF(B339="","",C339*E339)</f>
        <v/>
      </c>
      <c r="G339" s="16" t="str">
        <f aca="false">IF(B339="","",C339*IFERROR(INDEX(Produtos!$D$5:$D$44,MATCH(B339,Produtos!$A$5:$A$44,0)),0))</f>
        <v/>
      </c>
      <c r="H339" s="16" t="str">
        <f aca="false">IF(B339="","",F339*IFERROR(INDEX(Despesas!$B$5:$B$8,MATCH(D339,Despesas!$A$5:$A$8,0)),0))</f>
        <v/>
      </c>
      <c r="I339" s="16" t="str">
        <f aca="false">IF(B339="","",F339-G339-H339)</f>
        <v/>
      </c>
    </row>
    <row r="340" customFormat="false" ht="15" hidden="false" customHeight="false" outlineLevel="0" collapsed="false">
      <c r="A340" s="34"/>
      <c r="B340" s="30"/>
      <c r="C340" s="30"/>
      <c r="D340" s="30"/>
      <c r="E340" s="16" t="str">
        <f aca="false">IF(B340="","",IFERROR(INDEX(Produtos!$C$5:$C$44,MATCH(B340,Produtos!$A$5:$A$44,0)),0))</f>
        <v/>
      </c>
      <c r="F340" s="16" t="str">
        <f aca="false">IF(B340="","",C340*E340)</f>
        <v/>
      </c>
      <c r="G340" s="16" t="str">
        <f aca="false">IF(B340="","",C340*IFERROR(INDEX(Produtos!$D$5:$D$44,MATCH(B340,Produtos!$A$5:$A$44,0)),0))</f>
        <v/>
      </c>
      <c r="H340" s="16" t="str">
        <f aca="false">IF(B340="","",F340*IFERROR(INDEX(Despesas!$B$5:$B$8,MATCH(D340,Despesas!$A$5:$A$8,0)),0))</f>
        <v/>
      </c>
      <c r="I340" s="16" t="str">
        <f aca="false">IF(B340="","",F340-G340-H340)</f>
        <v/>
      </c>
    </row>
    <row r="341" customFormat="false" ht="15" hidden="false" customHeight="false" outlineLevel="0" collapsed="false">
      <c r="A341" s="34"/>
      <c r="B341" s="30"/>
      <c r="C341" s="30"/>
      <c r="D341" s="30"/>
      <c r="E341" s="16" t="str">
        <f aca="false">IF(B341="","",IFERROR(INDEX(Produtos!$C$5:$C$44,MATCH(B341,Produtos!$A$5:$A$44,0)),0))</f>
        <v/>
      </c>
      <c r="F341" s="16" t="str">
        <f aca="false">IF(B341="","",C341*E341)</f>
        <v/>
      </c>
      <c r="G341" s="16" t="str">
        <f aca="false">IF(B341="","",C341*IFERROR(INDEX(Produtos!$D$5:$D$44,MATCH(B341,Produtos!$A$5:$A$44,0)),0))</f>
        <v/>
      </c>
      <c r="H341" s="16" t="str">
        <f aca="false">IF(B341="","",F341*IFERROR(INDEX(Despesas!$B$5:$B$8,MATCH(D341,Despesas!$A$5:$A$8,0)),0))</f>
        <v/>
      </c>
      <c r="I341" s="16" t="str">
        <f aca="false">IF(B341="","",F341-G341-H341)</f>
        <v/>
      </c>
    </row>
    <row r="342" customFormat="false" ht="15" hidden="false" customHeight="false" outlineLevel="0" collapsed="false">
      <c r="A342" s="34"/>
      <c r="B342" s="30"/>
      <c r="C342" s="30"/>
      <c r="D342" s="30"/>
      <c r="E342" s="16" t="str">
        <f aca="false">IF(B342="","",IFERROR(INDEX(Produtos!$C$5:$C$44,MATCH(B342,Produtos!$A$5:$A$44,0)),0))</f>
        <v/>
      </c>
      <c r="F342" s="16" t="str">
        <f aca="false">IF(B342="","",C342*E342)</f>
        <v/>
      </c>
      <c r="G342" s="16" t="str">
        <f aca="false">IF(B342="","",C342*IFERROR(INDEX(Produtos!$D$5:$D$44,MATCH(B342,Produtos!$A$5:$A$44,0)),0))</f>
        <v/>
      </c>
      <c r="H342" s="16" t="str">
        <f aca="false">IF(B342="","",F342*IFERROR(INDEX(Despesas!$B$5:$B$8,MATCH(D342,Despesas!$A$5:$A$8,0)),0))</f>
        <v/>
      </c>
      <c r="I342" s="16" t="str">
        <f aca="false">IF(B342="","",F342-G342-H342)</f>
        <v/>
      </c>
    </row>
    <row r="343" customFormat="false" ht="15" hidden="false" customHeight="false" outlineLevel="0" collapsed="false">
      <c r="A343" s="34"/>
      <c r="B343" s="30"/>
      <c r="C343" s="30"/>
      <c r="D343" s="30"/>
      <c r="E343" s="16" t="str">
        <f aca="false">IF(B343="","",IFERROR(INDEX(Produtos!$C$5:$C$44,MATCH(B343,Produtos!$A$5:$A$44,0)),0))</f>
        <v/>
      </c>
      <c r="F343" s="16" t="str">
        <f aca="false">IF(B343="","",C343*E343)</f>
        <v/>
      </c>
      <c r="G343" s="16" t="str">
        <f aca="false">IF(B343="","",C343*IFERROR(INDEX(Produtos!$D$5:$D$44,MATCH(B343,Produtos!$A$5:$A$44,0)),0))</f>
        <v/>
      </c>
      <c r="H343" s="16" t="str">
        <f aca="false">IF(B343="","",F343*IFERROR(INDEX(Despesas!$B$5:$B$8,MATCH(D343,Despesas!$A$5:$A$8,0)),0))</f>
        <v/>
      </c>
      <c r="I343" s="16" t="str">
        <f aca="false">IF(B343="","",F343-G343-H343)</f>
        <v/>
      </c>
    </row>
    <row r="344" customFormat="false" ht="15" hidden="false" customHeight="false" outlineLevel="0" collapsed="false">
      <c r="A344" s="34"/>
      <c r="B344" s="30"/>
      <c r="C344" s="30"/>
      <c r="D344" s="30"/>
      <c r="E344" s="16" t="str">
        <f aca="false">IF(B344="","",IFERROR(INDEX(Produtos!$C$5:$C$44,MATCH(B344,Produtos!$A$5:$A$44,0)),0))</f>
        <v/>
      </c>
      <c r="F344" s="16" t="str">
        <f aca="false">IF(B344="","",C344*E344)</f>
        <v/>
      </c>
      <c r="G344" s="16" t="str">
        <f aca="false">IF(B344="","",C344*IFERROR(INDEX(Produtos!$D$5:$D$44,MATCH(B344,Produtos!$A$5:$A$44,0)),0))</f>
        <v/>
      </c>
      <c r="H344" s="16" t="str">
        <f aca="false">IF(B344="","",F344*IFERROR(INDEX(Despesas!$B$5:$B$8,MATCH(D344,Despesas!$A$5:$A$8,0)),0))</f>
        <v/>
      </c>
      <c r="I344" s="16" t="str">
        <f aca="false">IF(B344="","",F344-G344-H344)</f>
        <v/>
      </c>
    </row>
    <row r="345" customFormat="false" ht="15" hidden="false" customHeight="false" outlineLevel="0" collapsed="false">
      <c r="A345" s="34"/>
      <c r="B345" s="30"/>
      <c r="C345" s="30"/>
      <c r="D345" s="30"/>
      <c r="E345" s="16" t="str">
        <f aca="false">IF(B345="","",IFERROR(INDEX(Produtos!$C$5:$C$44,MATCH(B345,Produtos!$A$5:$A$44,0)),0))</f>
        <v/>
      </c>
      <c r="F345" s="16" t="str">
        <f aca="false">IF(B345="","",C345*E345)</f>
        <v/>
      </c>
      <c r="G345" s="16" t="str">
        <f aca="false">IF(B345="","",C345*IFERROR(INDEX(Produtos!$D$5:$D$44,MATCH(B345,Produtos!$A$5:$A$44,0)),0))</f>
        <v/>
      </c>
      <c r="H345" s="16" t="str">
        <f aca="false">IF(B345="","",F345*IFERROR(INDEX(Despesas!$B$5:$B$8,MATCH(D345,Despesas!$A$5:$A$8,0)),0))</f>
        <v/>
      </c>
      <c r="I345" s="16" t="str">
        <f aca="false">IF(B345="","",F345-G345-H345)</f>
        <v/>
      </c>
    </row>
    <row r="346" customFormat="false" ht="15" hidden="false" customHeight="false" outlineLevel="0" collapsed="false">
      <c r="A346" s="34"/>
      <c r="B346" s="30"/>
      <c r="C346" s="30"/>
      <c r="D346" s="30"/>
      <c r="E346" s="16" t="str">
        <f aca="false">IF(B346="","",IFERROR(INDEX(Produtos!$C$5:$C$44,MATCH(B346,Produtos!$A$5:$A$44,0)),0))</f>
        <v/>
      </c>
      <c r="F346" s="16" t="str">
        <f aca="false">IF(B346="","",C346*E346)</f>
        <v/>
      </c>
      <c r="G346" s="16" t="str">
        <f aca="false">IF(B346="","",C346*IFERROR(INDEX(Produtos!$D$5:$D$44,MATCH(B346,Produtos!$A$5:$A$44,0)),0))</f>
        <v/>
      </c>
      <c r="H346" s="16" t="str">
        <f aca="false">IF(B346="","",F346*IFERROR(INDEX(Despesas!$B$5:$B$8,MATCH(D346,Despesas!$A$5:$A$8,0)),0))</f>
        <v/>
      </c>
      <c r="I346" s="16" t="str">
        <f aca="false">IF(B346="","",F346-G346-H346)</f>
        <v/>
      </c>
    </row>
    <row r="347" customFormat="false" ht="15" hidden="false" customHeight="false" outlineLevel="0" collapsed="false">
      <c r="A347" s="34"/>
      <c r="B347" s="30"/>
      <c r="C347" s="30"/>
      <c r="D347" s="30"/>
      <c r="E347" s="16" t="str">
        <f aca="false">IF(B347="","",IFERROR(INDEX(Produtos!$C$5:$C$44,MATCH(B347,Produtos!$A$5:$A$44,0)),0))</f>
        <v/>
      </c>
      <c r="F347" s="16" t="str">
        <f aca="false">IF(B347="","",C347*E347)</f>
        <v/>
      </c>
      <c r="G347" s="16" t="str">
        <f aca="false">IF(B347="","",C347*IFERROR(INDEX(Produtos!$D$5:$D$44,MATCH(B347,Produtos!$A$5:$A$44,0)),0))</f>
        <v/>
      </c>
      <c r="H347" s="16" t="str">
        <f aca="false">IF(B347="","",F347*IFERROR(INDEX(Despesas!$B$5:$B$8,MATCH(D347,Despesas!$A$5:$A$8,0)),0))</f>
        <v/>
      </c>
      <c r="I347" s="16" t="str">
        <f aca="false">IF(B347="","",F347-G347-H347)</f>
        <v/>
      </c>
    </row>
    <row r="348" customFormat="false" ht="15" hidden="false" customHeight="false" outlineLevel="0" collapsed="false">
      <c r="A348" s="34"/>
      <c r="B348" s="30"/>
      <c r="C348" s="30"/>
      <c r="D348" s="30"/>
      <c r="E348" s="16" t="str">
        <f aca="false">IF(B348="","",IFERROR(INDEX(Produtos!$C$5:$C$44,MATCH(B348,Produtos!$A$5:$A$44,0)),0))</f>
        <v/>
      </c>
      <c r="F348" s="16" t="str">
        <f aca="false">IF(B348="","",C348*E348)</f>
        <v/>
      </c>
      <c r="G348" s="16" t="str">
        <f aca="false">IF(B348="","",C348*IFERROR(INDEX(Produtos!$D$5:$D$44,MATCH(B348,Produtos!$A$5:$A$44,0)),0))</f>
        <v/>
      </c>
      <c r="H348" s="16" t="str">
        <f aca="false">IF(B348="","",F348*IFERROR(INDEX(Despesas!$B$5:$B$8,MATCH(D348,Despesas!$A$5:$A$8,0)),0))</f>
        <v/>
      </c>
      <c r="I348" s="16" t="str">
        <f aca="false">IF(B348="","",F348-G348-H348)</f>
        <v/>
      </c>
    </row>
    <row r="349" customFormat="false" ht="15" hidden="false" customHeight="false" outlineLevel="0" collapsed="false">
      <c r="A349" s="34"/>
      <c r="B349" s="30"/>
      <c r="C349" s="30"/>
      <c r="D349" s="30"/>
      <c r="E349" s="16" t="str">
        <f aca="false">IF(B349="","",IFERROR(INDEX(Produtos!$C$5:$C$44,MATCH(B349,Produtos!$A$5:$A$44,0)),0))</f>
        <v/>
      </c>
      <c r="F349" s="16" t="str">
        <f aca="false">IF(B349="","",C349*E349)</f>
        <v/>
      </c>
      <c r="G349" s="16" t="str">
        <f aca="false">IF(B349="","",C349*IFERROR(INDEX(Produtos!$D$5:$D$44,MATCH(B349,Produtos!$A$5:$A$44,0)),0))</f>
        <v/>
      </c>
      <c r="H349" s="16" t="str">
        <f aca="false">IF(B349="","",F349*IFERROR(INDEX(Despesas!$B$5:$B$8,MATCH(D349,Despesas!$A$5:$A$8,0)),0))</f>
        <v/>
      </c>
      <c r="I349" s="16" t="str">
        <f aca="false">IF(B349="","",F349-G349-H349)</f>
        <v/>
      </c>
    </row>
    <row r="350" customFormat="false" ht="15" hidden="false" customHeight="false" outlineLevel="0" collapsed="false">
      <c r="A350" s="34"/>
      <c r="B350" s="30"/>
      <c r="C350" s="30"/>
      <c r="D350" s="30"/>
      <c r="E350" s="16" t="str">
        <f aca="false">IF(B350="","",IFERROR(INDEX(Produtos!$C$5:$C$44,MATCH(B350,Produtos!$A$5:$A$44,0)),0))</f>
        <v/>
      </c>
      <c r="F350" s="16" t="str">
        <f aca="false">IF(B350="","",C350*E350)</f>
        <v/>
      </c>
      <c r="G350" s="16" t="str">
        <f aca="false">IF(B350="","",C350*IFERROR(INDEX(Produtos!$D$5:$D$44,MATCH(B350,Produtos!$A$5:$A$44,0)),0))</f>
        <v/>
      </c>
      <c r="H350" s="16" t="str">
        <f aca="false">IF(B350="","",F350*IFERROR(INDEX(Despesas!$B$5:$B$8,MATCH(D350,Despesas!$A$5:$A$8,0)),0))</f>
        <v/>
      </c>
      <c r="I350" s="16" t="str">
        <f aca="false">IF(B350="","",F350-G350-H350)</f>
        <v/>
      </c>
    </row>
    <row r="351" customFormat="false" ht="15" hidden="false" customHeight="false" outlineLevel="0" collapsed="false">
      <c r="A351" s="34"/>
      <c r="B351" s="30"/>
      <c r="C351" s="30"/>
      <c r="D351" s="30"/>
      <c r="E351" s="16" t="str">
        <f aca="false">IF(B351="","",IFERROR(INDEX(Produtos!$C$5:$C$44,MATCH(B351,Produtos!$A$5:$A$44,0)),0))</f>
        <v/>
      </c>
      <c r="F351" s="16" t="str">
        <f aca="false">IF(B351="","",C351*E351)</f>
        <v/>
      </c>
      <c r="G351" s="16" t="str">
        <f aca="false">IF(B351="","",C351*IFERROR(INDEX(Produtos!$D$5:$D$44,MATCH(B351,Produtos!$A$5:$A$44,0)),0))</f>
        <v/>
      </c>
      <c r="H351" s="16" t="str">
        <f aca="false">IF(B351="","",F351*IFERROR(INDEX(Despesas!$B$5:$B$8,MATCH(D351,Despesas!$A$5:$A$8,0)),0))</f>
        <v/>
      </c>
      <c r="I351" s="16" t="str">
        <f aca="false">IF(B351="","",F351-G351-H351)</f>
        <v/>
      </c>
    </row>
    <row r="352" customFormat="false" ht="15" hidden="false" customHeight="false" outlineLevel="0" collapsed="false">
      <c r="A352" s="34"/>
      <c r="B352" s="30"/>
      <c r="C352" s="30"/>
      <c r="D352" s="30"/>
      <c r="E352" s="16" t="str">
        <f aca="false">IF(B352="","",IFERROR(INDEX(Produtos!$C$5:$C$44,MATCH(B352,Produtos!$A$5:$A$44,0)),0))</f>
        <v/>
      </c>
      <c r="F352" s="16" t="str">
        <f aca="false">IF(B352="","",C352*E352)</f>
        <v/>
      </c>
      <c r="G352" s="16" t="str">
        <f aca="false">IF(B352="","",C352*IFERROR(INDEX(Produtos!$D$5:$D$44,MATCH(B352,Produtos!$A$5:$A$44,0)),0))</f>
        <v/>
      </c>
      <c r="H352" s="16" t="str">
        <f aca="false">IF(B352="","",F352*IFERROR(INDEX(Despesas!$B$5:$B$8,MATCH(D352,Despesas!$A$5:$A$8,0)),0))</f>
        <v/>
      </c>
      <c r="I352" s="16" t="str">
        <f aca="false">IF(B352="","",F352-G352-H352)</f>
        <v/>
      </c>
    </row>
    <row r="353" customFormat="false" ht="15" hidden="false" customHeight="false" outlineLevel="0" collapsed="false">
      <c r="A353" s="34"/>
      <c r="B353" s="30"/>
      <c r="C353" s="30"/>
      <c r="D353" s="30"/>
      <c r="E353" s="16" t="str">
        <f aca="false">IF(B353="","",IFERROR(INDEX(Produtos!$C$5:$C$44,MATCH(B353,Produtos!$A$5:$A$44,0)),0))</f>
        <v/>
      </c>
      <c r="F353" s="16" t="str">
        <f aca="false">IF(B353="","",C353*E353)</f>
        <v/>
      </c>
      <c r="G353" s="16" t="str">
        <f aca="false">IF(B353="","",C353*IFERROR(INDEX(Produtos!$D$5:$D$44,MATCH(B353,Produtos!$A$5:$A$44,0)),0))</f>
        <v/>
      </c>
      <c r="H353" s="16" t="str">
        <f aca="false">IF(B353="","",F353*IFERROR(INDEX(Despesas!$B$5:$B$8,MATCH(D353,Despesas!$A$5:$A$8,0)),0))</f>
        <v/>
      </c>
      <c r="I353" s="16" t="str">
        <f aca="false">IF(B353="","",F353-G353-H353)</f>
        <v/>
      </c>
    </row>
    <row r="354" customFormat="false" ht="15" hidden="false" customHeight="false" outlineLevel="0" collapsed="false">
      <c r="A354" s="34"/>
      <c r="B354" s="30"/>
      <c r="C354" s="30"/>
      <c r="D354" s="30"/>
      <c r="E354" s="16" t="str">
        <f aca="false">IF(B354="","",IFERROR(INDEX(Produtos!$C$5:$C$44,MATCH(B354,Produtos!$A$5:$A$44,0)),0))</f>
        <v/>
      </c>
      <c r="F354" s="16" t="str">
        <f aca="false">IF(B354="","",C354*E354)</f>
        <v/>
      </c>
      <c r="G354" s="16" t="str">
        <f aca="false">IF(B354="","",C354*IFERROR(INDEX(Produtos!$D$5:$D$44,MATCH(B354,Produtos!$A$5:$A$44,0)),0))</f>
        <v/>
      </c>
      <c r="H354" s="16" t="str">
        <f aca="false">IF(B354="","",F354*IFERROR(INDEX(Despesas!$B$5:$B$8,MATCH(D354,Despesas!$A$5:$A$8,0)),0))</f>
        <v/>
      </c>
      <c r="I354" s="16" t="str">
        <f aca="false">IF(B354="","",F354-G354-H354)</f>
        <v/>
      </c>
    </row>
    <row r="355" customFormat="false" ht="15" hidden="false" customHeight="false" outlineLevel="0" collapsed="false">
      <c r="A355" s="34"/>
      <c r="B355" s="30"/>
      <c r="C355" s="30"/>
      <c r="D355" s="30"/>
      <c r="E355" s="16" t="str">
        <f aca="false">IF(B355="","",IFERROR(INDEX(Produtos!$C$5:$C$44,MATCH(B355,Produtos!$A$5:$A$44,0)),0))</f>
        <v/>
      </c>
      <c r="F355" s="16" t="str">
        <f aca="false">IF(B355="","",C355*E355)</f>
        <v/>
      </c>
      <c r="G355" s="16" t="str">
        <f aca="false">IF(B355="","",C355*IFERROR(INDEX(Produtos!$D$5:$D$44,MATCH(B355,Produtos!$A$5:$A$44,0)),0))</f>
        <v/>
      </c>
      <c r="H355" s="16" t="str">
        <f aca="false">IF(B355="","",F355*IFERROR(INDEX(Despesas!$B$5:$B$8,MATCH(D355,Despesas!$A$5:$A$8,0)),0))</f>
        <v/>
      </c>
      <c r="I355" s="16" t="str">
        <f aca="false">IF(B355="","",F355-G355-H355)</f>
        <v/>
      </c>
    </row>
    <row r="356" customFormat="false" ht="15" hidden="false" customHeight="false" outlineLevel="0" collapsed="false">
      <c r="A356" s="34"/>
      <c r="B356" s="30"/>
      <c r="C356" s="30"/>
      <c r="D356" s="30"/>
      <c r="E356" s="16" t="str">
        <f aca="false">IF(B356="","",IFERROR(INDEX(Produtos!$C$5:$C$44,MATCH(B356,Produtos!$A$5:$A$44,0)),0))</f>
        <v/>
      </c>
      <c r="F356" s="16" t="str">
        <f aca="false">IF(B356="","",C356*E356)</f>
        <v/>
      </c>
      <c r="G356" s="16" t="str">
        <f aca="false">IF(B356="","",C356*IFERROR(INDEX(Produtos!$D$5:$D$44,MATCH(B356,Produtos!$A$5:$A$44,0)),0))</f>
        <v/>
      </c>
      <c r="H356" s="16" t="str">
        <f aca="false">IF(B356="","",F356*IFERROR(INDEX(Despesas!$B$5:$B$8,MATCH(D356,Despesas!$A$5:$A$8,0)),0))</f>
        <v/>
      </c>
      <c r="I356" s="16" t="str">
        <f aca="false">IF(B356="","",F356-G356-H356)</f>
        <v/>
      </c>
    </row>
    <row r="357" customFormat="false" ht="15" hidden="false" customHeight="false" outlineLevel="0" collapsed="false">
      <c r="A357" s="34"/>
      <c r="B357" s="30"/>
      <c r="C357" s="30"/>
      <c r="D357" s="30"/>
      <c r="E357" s="16" t="str">
        <f aca="false">IF(B357="","",IFERROR(INDEX(Produtos!$C$5:$C$44,MATCH(B357,Produtos!$A$5:$A$44,0)),0))</f>
        <v/>
      </c>
      <c r="F357" s="16" t="str">
        <f aca="false">IF(B357="","",C357*E357)</f>
        <v/>
      </c>
      <c r="G357" s="16" t="str">
        <f aca="false">IF(B357="","",C357*IFERROR(INDEX(Produtos!$D$5:$D$44,MATCH(B357,Produtos!$A$5:$A$44,0)),0))</f>
        <v/>
      </c>
      <c r="H357" s="16" t="str">
        <f aca="false">IF(B357="","",F357*IFERROR(INDEX(Despesas!$B$5:$B$8,MATCH(D357,Despesas!$A$5:$A$8,0)),0))</f>
        <v/>
      </c>
      <c r="I357" s="16" t="str">
        <f aca="false">IF(B357="","",F357-G357-H357)</f>
        <v/>
      </c>
    </row>
    <row r="358" customFormat="false" ht="15" hidden="false" customHeight="false" outlineLevel="0" collapsed="false">
      <c r="A358" s="34"/>
      <c r="B358" s="30"/>
      <c r="C358" s="30"/>
      <c r="D358" s="30"/>
      <c r="E358" s="16" t="str">
        <f aca="false">IF(B358="","",IFERROR(INDEX(Produtos!$C$5:$C$44,MATCH(B358,Produtos!$A$5:$A$44,0)),0))</f>
        <v/>
      </c>
      <c r="F358" s="16" t="str">
        <f aca="false">IF(B358="","",C358*E358)</f>
        <v/>
      </c>
      <c r="G358" s="16" t="str">
        <f aca="false">IF(B358="","",C358*IFERROR(INDEX(Produtos!$D$5:$D$44,MATCH(B358,Produtos!$A$5:$A$44,0)),0))</f>
        <v/>
      </c>
      <c r="H358" s="16" t="str">
        <f aca="false">IF(B358="","",F358*IFERROR(INDEX(Despesas!$B$5:$B$8,MATCH(D358,Despesas!$A$5:$A$8,0)),0))</f>
        <v/>
      </c>
      <c r="I358" s="16" t="str">
        <f aca="false">IF(B358="","",F358-G358-H358)</f>
        <v/>
      </c>
    </row>
    <row r="359" customFormat="false" ht="15" hidden="false" customHeight="false" outlineLevel="0" collapsed="false">
      <c r="A359" s="34"/>
      <c r="B359" s="30"/>
      <c r="C359" s="30"/>
      <c r="D359" s="30"/>
      <c r="E359" s="16" t="str">
        <f aca="false">IF(B359="","",IFERROR(INDEX(Produtos!$C$5:$C$44,MATCH(B359,Produtos!$A$5:$A$44,0)),0))</f>
        <v/>
      </c>
      <c r="F359" s="16" t="str">
        <f aca="false">IF(B359="","",C359*E359)</f>
        <v/>
      </c>
      <c r="G359" s="16" t="str">
        <f aca="false">IF(B359="","",C359*IFERROR(INDEX(Produtos!$D$5:$D$44,MATCH(B359,Produtos!$A$5:$A$44,0)),0))</f>
        <v/>
      </c>
      <c r="H359" s="16" t="str">
        <f aca="false">IF(B359="","",F359*IFERROR(INDEX(Despesas!$B$5:$B$8,MATCH(D359,Despesas!$A$5:$A$8,0)),0))</f>
        <v/>
      </c>
      <c r="I359" s="16" t="str">
        <f aca="false">IF(B359="","",F359-G359-H359)</f>
        <v/>
      </c>
    </row>
    <row r="360" customFormat="false" ht="15" hidden="false" customHeight="false" outlineLevel="0" collapsed="false">
      <c r="A360" s="34"/>
      <c r="B360" s="30"/>
      <c r="C360" s="30"/>
      <c r="D360" s="30"/>
      <c r="E360" s="16" t="str">
        <f aca="false">IF(B360="","",IFERROR(INDEX(Produtos!$C$5:$C$44,MATCH(B360,Produtos!$A$5:$A$44,0)),0))</f>
        <v/>
      </c>
      <c r="F360" s="16" t="str">
        <f aca="false">IF(B360="","",C360*E360)</f>
        <v/>
      </c>
      <c r="G360" s="16" t="str">
        <f aca="false">IF(B360="","",C360*IFERROR(INDEX(Produtos!$D$5:$D$44,MATCH(B360,Produtos!$A$5:$A$44,0)),0))</f>
        <v/>
      </c>
      <c r="H360" s="16" t="str">
        <f aca="false">IF(B360="","",F360*IFERROR(INDEX(Despesas!$B$5:$B$8,MATCH(D360,Despesas!$A$5:$A$8,0)),0))</f>
        <v/>
      </c>
      <c r="I360" s="16" t="str">
        <f aca="false">IF(B360="","",F360-G360-H360)</f>
        <v/>
      </c>
    </row>
    <row r="361" customFormat="false" ht="15" hidden="false" customHeight="false" outlineLevel="0" collapsed="false">
      <c r="A361" s="34"/>
      <c r="B361" s="30"/>
      <c r="C361" s="30"/>
      <c r="D361" s="30"/>
      <c r="E361" s="16" t="str">
        <f aca="false">IF(B361="","",IFERROR(INDEX(Produtos!$C$5:$C$44,MATCH(B361,Produtos!$A$5:$A$44,0)),0))</f>
        <v/>
      </c>
      <c r="F361" s="16" t="str">
        <f aca="false">IF(B361="","",C361*E361)</f>
        <v/>
      </c>
      <c r="G361" s="16" t="str">
        <f aca="false">IF(B361="","",C361*IFERROR(INDEX(Produtos!$D$5:$D$44,MATCH(B361,Produtos!$A$5:$A$44,0)),0))</f>
        <v/>
      </c>
      <c r="H361" s="16" t="str">
        <f aca="false">IF(B361="","",F361*IFERROR(INDEX(Despesas!$B$5:$B$8,MATCH(D361,Despesas!$A$5:$A$8,0)),0))</f>
        <v/>
      </c>
      <c r="I361" s="16" t="str">
        <f aca="false">IF(B361="","",F361-G361-H361)</f>
        <v/>
      </c>
    </row>
    <row r="362" customFormat="false" ht="15" hidden="false" customHeight="false" outlineLevel="0" collapsed="false">
      <c r="A362" s="34"/>
      <c r="B362" s="30"/>
      <c r="C362" s="30"/>
      <c r="D362" s="30"/>
      <c r="E362" s="16" t="str">
        <f aca="false">IF(B362="","",IFERROR(INDEX(Produtos!$C$5:$C$44,MATCH(B362,Produtos!$A$5:$A$44,0)),0))</f>
        <v/>
      </c>
      <c r="F362" s="16" t="str">
        <f aca="false">IF(B362="","",C362*E362)</f>
        <v/>
      </c>
      <c r="G362" s="16" t="str">
        <f aca="false">IF(B362="","",C362*IFERROR(INDEX(Produtos!$D$5:$D$44,MATCH(B362,Produtos!$A$5:$A$44,0)),0))</f>
        <v/>
      </c>
      <c r="H362" s="16" t="str">
        <f aca="false">IF(B362="","",F362*IFERROR(INDEX(Despesas!$B$5:$B$8,MATCH(D362,Despesas!$A$5:$A$8,0)),0))</f>
        <v/>
      </c>
      <c r="I362" s="16" t="str">
        <f aca="false">IF(B362="","",F362-G362-H362)</f>
        <v/>
      </c>
    </row>
    <row r="363" customFormat="false" ht="15" hidden="false" customHeight="false" outlineLevel="0" collapsed="false">
      <c r="A363" s="34"/>
      <c r="B363" s="30"/>
      <c r="C363" s="30"/>
      <c r="D363" s="30"/>
      <c r="E363" s="16" t="str">
        <f aca="false">IF(B363="","",IFERROR(INDEX(Produtos!$C$5:$C$44,MATCH(B363,Produtos!$A$5:$A$44,0)),0))</f>
        <v/>
      </c>
      <c r="F363" s="16" t="str">
        <f aca="false">IF(B363="","",C363*E363)</f>
        <v/>
      </c>
      <c r="G363" s="16" t="str">
        <f aca="false">IF(B363="","",C363*IFERROR(INDEX(Produtos!$D$5:$D$44,MATCH(B363,Produtos!$A$5:$A$44,0)),0))</f>
        <v/>
      </c>
      <c r="H363" s="16" t="str">
        <f aca="false">IF(B363="","",F363*IFERROR(INDEX(Despesas!$B$5:$B$8,MATCH(D363,Despesas!$A$5:$A$8,0)),0))</f>
        <v/>
      </c>
      <c r="I363" s="16" t="str">
        <f aca="false">IF(B363="","",F363-G363-H363)</f>
        <v/>
      </c>
    </row>
    <row r="364" customFormat="false" ht="15" hidden="false" customHeight="false" outlineLevel="0" collapsed="false">
      <c r="A364" s="34"/>
      <c r="B364" s="30"/>
      <c r="C364" s="30"/>
      <c r="D364" s="30"/>
      <c r="E364" s="16" t="str">
        <f aca="false">IF(B364="","",IFERROR(INDEX(Produtos!$C$5:$C$44,MATCH(B364,Produtos!$A$5:$A$44,0)),0))</f>
        <v/>
      </c>
      <c r="F364" s="16" t="str">
        <f aca="false">IF(B364="","",C364*E364)</f>
        <v/>
      </c>
      <c r="G364" s="16" t="str">
        <f aca="false">IF(B364="","",C364*IFERROR(INDEX(Produtos!$D$5:$D$44,MATCH(B364,Produtos!$A$5:$A$44,0)),0))</f>
        <v/>
      </c>
      <c r="H364" s="16" t="str">
        <f aca="false">IF(B364="","",F364*IFERROR(INDEX(Despesas!$B$5:$B$8,MATCH(D364,Despesas!$A$5:$A$8,0)),0))</f>
        <v/>
      </c>
      <c r="I364" s="16" t="str">
        <f aca="false">IF(B364="","",F364-G364-H364)</f>
        <v/>
      </c>
    </row>
    <row r="365" customFormat="false" ht="15" hidden="false" customHeight="false" outlineLevel="0" collapsed="false">
      <c r="A365" s="34"/>
      <c r="B365" s="30"/>
      <c r="C365" s="30"/>
      <c r="D365" s="30"/>
      <c r="E365" s="16" t="str">
        <f aca="false">IF(B365="","",IFERROR(INDEX(Produtos!$C$5:$C$44,MATCH(B365,Produtos!$A$5:$A$44,0)),0))</f>
        <v/>
      </c>
      <c r="F365" s="16" t="str">
        <f aca="false">IF(B365="","",C365*E365)</f>
        <v/>
      </c>
      <c r="G365" s="16" t="str">
        <f aca="false">IF(B365="","",C365*IFERROR(INDEX(Produtos!$D$5:$D$44,MATCH(B365,Produtos!$A$5:$A$44,0)),0))</f>
        <v/>
      </c>
      <c r="H365" s="16" t="str">
        <f aca="false">IF(B365="","",F365*IFERROR(INDEX(Despesas!$B$5:$B$8,MATCH(D365,Despesas!$A$5:$A$8,0)),0))</f>
        <v/>
      </c>
      <c r="I365" s="16" t="str">
        <f aca="false">IF(B365="","",F365-G365-H365)</f>
        <v/>
      </c>
    </row>
    <row r="366" customFormat="false" ht="15" hidden="false" customHeight="false" outlineLevel="0" collapsed="false">
      <c r="A366" s="34"/>
      <c r="B366" s="30"/>
      <c r="C366" s="30"/>
      <c r="D366" s="30"/>
      <c r="E366" s="16" t="str">
        <f aca="false">IF(B366="","",IFERROR(INDEX(Produtos!$C$5:$C$44,MATCH(B366,Produtos!$A$5:$A$44,0)),0))</f>
        <v/>
      </c>
      <c r="F366" s="16" t="str">
        <f aca="false">IF(B366="","",C366*E366)</f>
        <v/>
      </c>
      <c r="G366" s="16" t="str">
        <f aca="false">IF(B366="","",C366*IFERROR(INDEX(Produtos!$D$5:$D$44,MATCH(B366,Produtos!$A$5:$A$44,0)),0))</f>
        <v/>
      </c>
      <c r="H366" s="16" t="str">
        <f aca="false">IF(B366="","",F366*IFERROR(INDEX(Despesas!$B$5:$B$8,MATCH(D366,Despesas!$A$5:$A$8,0)),0))</f>
        <v/>
      </c>
      <c r="I366" s="16" t="str">
        <f aca="false">IF(B366="","",F366-G366-H366)</f>
        <v/>
      </c>
    </row>
    <row r="367" customFormat="false" ht="15" hidden="false" customHeight="false" outlineLevel="0" collapsed="false">
      <c r="A367" s="34"/>
      <c r="B367" s="30"/>
      <c r="C367" s="30"/>
      <c r="D367" s="30"/>
      <c r="E367" s="16" t="str">
        <f aca="false">IF(B367="","",IFERROR(INDEX(Produtos!$C$5:$C$44,MATCH(B367,Produtos!$A$5:$A$44,0)),0))</f>
        <v/>
      </c>
      <c r="F367" s="16" t="str">
        <f aca="false">IF(B367="","",C367*E367)</f>
        <v/>
      </c>
      <c r="G367" s="16" t="str">
        <f aca="false">IF(B367="","",C367*IFERROR(INDEX(Produtos!$D$5:$D$44,MATCH(B367,Produtos!$A$5:$A$44,0)),0))</f>
        <v/>
      </c>
      <c r="H367" s="16" t="str">
        <f aca="false">IF(B367="","",F367*IFERROR(INDEX(Despesas!$B$5:$B$8,MATCH(D367,Despesas!$A$5:$A$8,0)),0))</f>
        <v/>
      </c>
      <c r="I367" s="16" t="str">
        <f aca="false">IF(B367="","",F367-G367-H367)</f>
        <v/>
      </c>
    </row>
    <row r="368" customFormat="false" ht="15" hidden="false" customHeight="false" outlineLevel="0" collapsed="false">
      <c r="A368" s="34"/>
      <c r="B368" s="30"/>
      <c r="C368" s="30"/>
      <c r="D368" s="30"/>
      <c r="E368" s="16" t="str">
        <f aca="false">IF(B368="","",IFERROR(INDEX(Produtos!$C$5:$C$44,MATCH(B368,Produtos!$A$5:$A$44,0)),0))</f>
        <v/>
      </c>
      <c r="F368" s="16" t="str">
        <f aca="false">IF(B368="","",C368*E368)</f>
        <v/>
      </c>
      <c r="G368" s="16" t="str">
        <f aca="false">IF(B368="","",C368*IFERROR(INDEX(Produtos!$D$5:$D$44,MATCH(B368,Produtos!$A$5:$A$44,0)),0))</f>
        <v/>
      </c>
      <c r="H368" s="16" t="str">
        <f aca="false">IF(B368="","",F368*IFERROR(INDEX(Despesas!$B$5:$B$8,MATCH(D368,Despesas!$A$5:$A$8,0)),0))</f>
        <v/>
      </c>
      <c r="I368" s="16" t="str">
        <f aca="false">IF(B368="","",F368-G368-H368)</f>
        <v/>
      </c>
    </row>
    <row r="369" customFormat="false" ht="15" hidden="false" customHeight="false" outlineLevel="0" collapsed="false">
      <c r="A369" s="34"/>
      <c r="B369" s="30"/>
      <c r="C369" s="30"/>
      <c r="D369" s="30"/>
      <c r="E369" s="16" t="str">
        <f aca="false">IF(B369="","",IFERROR(INDEX(Produtos!$C$5:$C$44,MATCH(B369,Produtos!$A$5:$A$44,0)),0))</f>
        <v/>
      </c>
      <c r="F369" s="16" t="str">
        <f aca="false">IF(B369="","",C369*E369)</f>
        <v/>
      </c>
      <c r="G369" s="16" t="str">
        <f aca="false">IF(B369="","",C369*IFERROR(INDEX(Produtos!$D$5:$D$44,MATCH(B369,Produtos!$A$5:$A$44,0)),0))</f>
        <v/>
      </c>
      <c r="H369" s="16" t="str">
        <f aca="false">IF(B369="","",F369*IFERROR(INDEX(Despesas!$B$5:$B$8,MATCH(D369,Despesas!$A$5:$A$8,0)),0))</f>
        <v/>
      </c>
      <c r="I369" s="16" t="str">
        <f aca="false">IF(B369="","",F369-G369-H369)</f>
        <v/>
      </c>
    </row>
    <row r="370" customFormat="false" ht="15" hidden="false" customHeight="false" outlineLevel="0" collapsed="false">
      <c r="A370" s="34"/>
      <c r="B370" s="30"/>
      <c r="C370" s="30"/>
      <c r="D370" s="30"/>
      <c r="E370" s="16" t="str">
        <f aca="false">IF(B370="","",IFERROR(INDEX(Produtos!$C$5:$C$44,MATCH(B370,Produtos!$A$5:$A$44,0)),0))</f>
        <v/>
      </c>
      <c r="F370" s="16" t="str">
        <f aca="false">IF(B370="","",C370*E370)</f>
        <v/>
      </c>
      <c r="G370" s="16" t="str">
        <f aca="false">IF(B370="","",C370*IFERROR(INDEX(Produtos!$D$5:$D$44,MATCH(B370,Produtos!$A$5:$A$44,0)),0))</f>
        <v/>
      </c>
      <c r="H370" s="16" t="str">
        <f aca="false">IF(B370="","",F370*IFERROR(INDEX(Despesas!$B$5:$B$8,MATCH(D370,Despesas!$A$5:$A$8,0)),0))</f>
        <v/>
      </c>
      <c r="I370" s="16" t="str">
        <f aca="false">IF(B370="","",F370-G370-H370)</f>
        <v/>
      </c>
    </row>
    <row r="371" customFormat="false" ht="15" hidden="false" customHeight="false" outlineLevel="0" collapsed="false">
      <c r="A371" s="34"/>
      <c r="B371" s="30"/>
      <c r="C371" s="30"/>
      <c r="D371" s="30"/>
      <c r="E371" s="16" t="str">
        <f aca="false">IF(B371="","",IFERROR(INDEX(Produtos!$C$5:$C$44,MATCH(B371,Produtos!$A$5:$A$44,0)),0))</f>
        <v/>
      </c>
      <c r="F371" s="16" t="str">
        <f aca="false">IF(B371="","",C371*E371)</f>
        <v/>
      </c>
      <c r="G371" s="16" t="str">
        <f aca="false">IF(B371="","",C371*IFERROR(INDEX(Produtos!$D$5:$D$44,MATCH(B371,Produtos!$A$5:$A$44,0)),0))</f>
        <v/>
      </c>
      <c r="H371" s="16" t="str">
        <f aca="false">IF(B371="","",F371*IFERROR(INDEX(Despesas!$B$5:$B$8,MATCH(D371,Despesas!$A$5:$A$8,0)),0))</f>
        <v/>
      </c>
      <c r="I371" s="16" t="str">
        <f aca="false">IF(B371="","",F371-G371-H371)</f>
        <v/>
      </c>
    </row>
    <row r="372" customFormat="false" ht="15" hidden="false" customHeight="false" outlineLevel="0" collapsed="false">
      <c r="A372" s="34"/>
      <c r="B372" s="30"/>
      <c r="C372" s="30"/>
      <c r="D372" s="30"/>
      <c r="E372" s="16" t="str">
        <f aca="false">IF(B372="","",IFERROR(INDEX(Produtos!$C$5:$C$44,MATCH(B372,Produtos!$A$5:$A$44,0)),0))</f>
        <v/>
      </c>
      <c r="F372" s="16" t="str">
        <f aca="false">IF(B372="","",C372*E372)</f>
        <v/>
      </c>
      <c r="G372" s="16" t="str">
        <f aca="false">IF(B372="","",C372*IFERROR(INDEX(Produtos!$D$5:$D$44,MATCH(B372,Produtos!$A$5:$A$44,0)),0))</f>
        <v/>
      </c>
      <c r="H372" s="16" t="str">
        <f aca="false">IF(B372="","",F372*IFERROR(INDEX(Despesas!$B$5:$B$8,MATCH(D372,Despesas!$A$5:$A$8,0)),0))</f>
        <v/>
      </c>
      <c r="I372" s="16" t="str">
        <f aca="false">IF(B372="","",F372-G372-H372)</f>
        <v/>
      </c>
    </row>
    <row r="373" customFormat="false" ht="15" hidden="false" customHeight="false" outlineLevel="0" collapsed="false">
      <c r="A373" s="34"/>
      <c r="B373" s="30"/>
      <c r="C373" s="30"/>
      <c r="D373" s="30"/>
      <c r="E373" s="16" t="str">
        <f aca="false">IF(B373="","",IFERROR(INDEX(Produtos!$C$5:$C$44,MATCH(B373,Produtos!$A$5:$A$44,0)),0))</f>
        <v/>
      </c>
      <c r="F373" s="16" t="str">
        <f aca="false">IF(B373="","",C373*E373)</f>
        <v/>
      </c>
      <c r="G373" s="16" t="str">
        <f aca="false">IF(B373="","",C373*IFERROR(INDEX(Produtos!$D$5:$D$44,MATCH(B373,Produtos!$A$5:$A$44,0)),0))</f>
        <v/>
      </c>
      <c r="H373" s="16" t="str">
        <f aca="false">IF(B373="","",F373*IFERROR(INDEX(Despesas!$B$5:$B$8,MATCH(D373,Despesas!$A$5:$A$8,0)),0))</f>
        <v/>
      </c>
      <c r="I373" s="16" t="str">
        <f aca="false">IF(B373="","",F373-G373-H373)</f>
        <v/>
      </c>
    </row>
    <row r="374" customFormat="false" ht="15" hidden="false" customHeight="false" outlineLevel="0" collapsed="false">
      <c r="A374" s="34"/>
      <c r="B374" s="30"/>
      <c r="C374" s="30"/>
      <c r="D374" s="30"/>
      <c r="E374" s="16" t="str">
        <f aca="false">IF(B374="","",IFERROR(INDEX(Produtos!$C$5:$C$44,MATCH(B374,Produtos!$A$5:$A$44,0)),0))</f>
        <v/>
      </c>
      <c r="F374" s="16" t="str">
        <f aca="false">IF(B374="","",C374*E374)</f>
        <v/>
      </c>
      <c r="G374" s="16" t="str">
        <f aca="false">IF(B374="","",C374*IFERROR(INDEX(Produtos!$D$5:$D$44,MATCH(B374,Produtos!$A$5:$A$44,0)),0))</f>
        <v/>
      </c>
      <c r="H374" s="16" t="str">
        <f aca="false">IF(B374="","",F374*IFERROR(INDEX(Despesas!$B$5:$B$8,MATCH(D374,Despesas!$A$5:$A$8,0)),0))</f>
        <v/>
      </c>
      <c r="I374" s="16" t="str">
        <f aca="false">IF(B374="","",F374-G374-H374)</f>
        <v/>
      </c>
    </row>
    <row r="375" customFormat="false" ht="15" hidden="false" customHeight="false" outlineLevel="0" collapsed="false">
      <c r="A375" s="34"/>
      <c r="B375" s="30"/>
      <c r="C375" s="30"/>
      <c r="D375" s="30"/>
      <c r="E375" s="16" t="str">
        <f aca="false">IF(B375="","",IFERROR(INDEX(Produtos!$C$5:$C$44,MATCH(B375,Produtos!$A$5:$A$44,0)),0))</f>
        <v/>
      </c>
      <c r="F375" s="16" t="str">
        <f aca="false">IF(B375="","",C375*E375)</f>
        <v/>
      </c>
      <c r="G375" s="16" t="str">
        <f aca="false">IF(B375="","",C375*IFERROR(INDEX(Produtos!$D$5:$D$44,MATCH(B375,Produtos!$A$5:$A$44,0)),0))</f>
        <v/>
      </c>
      <c r="H375" s="16" t="str">
        <f aca="false">IF(B375="","",F375*IFERROR(INDEX(Despesas!$B$5:$B$8,MATCH(D375,Despesas!$A$5:$A$8,0)),0))</f>
        <v/>
      </c>
      <c r="I375" s="16" t="str">
        <f aca="false">IF(B375="","",F375-G375-H375)</f>
        <v/>
      </c>
    </row>
    <row r="376" customFormat="false" ht="15" hidden="false" customHeight="false" outlineLevel="0" collapsed="false">
      <c r="A376" s="34"/>
      <c r="B376" s="30"/>
      <c r="C376" s="30"/>
      <c r="D376" s="30"/>
      <c r="E376" s="16" t="str">
        <f aca="false">IF(B376="","",IFERROR(INDEX(Produtos!$C$5:$C$44,MATCH(B376,Produtos!$A$5:$A$44,0)),0))</f>
        <v/>
      </c>
      <c r="F376" s="16" t="str">
        <f aca="false">IF(B376="","",C376*E376)</f>
        <v/>
      </c>
      <c r="G376" s="16" t="str">
        <f aca="false">IF(B376="","",C376*IFERROR(INDEX(Produtos!$D$5:$D$44,MATCH(B376,Produtos!$A$5:$A$44,0)),0))</f>
        <v/>
      </c>
      <c r="H376" s="16" t="str">
        <f aca="false">IF(B376="","",F376*IFERROR(INDEX(Despesas!$B$5:$B$8,MATCH(D376,Despesas!$A$5:$A$8,0)),0))</f>
        <v/>
      </c>
      <c r="I376" s="16" t="str">
        <f aca="false">IF(B376="","",F376-G376-H376)</f>
        <v/>
      </c>
    </row>
    <row r="377" customFormat="false" ht="15" hidden="false" customHeight="false" outlineLevel="0" collapsed="false">
      <c r="A377" s="34"/>
      <c r="B377" s="30"/>
      <c r="C377" s="30"/>
      <c r="D377" s="30"/>
      <c r="E377" s="16" t="str">
        <f aca="false">IF(B377="","",IFERROR(INDEX(Produtos!$C$5:$C$44,MATCH(B377,Produtos!$A$5:$A$44,0)),0))</f>
        <v/>
      </c>
      <c r="F377" s="16" t="str">
        <f aca="false">IF(B377="","",C377*E377)</f>
        <v/>
      </c>
      <c r="G377" s="16" t="str">
        <f aca="false">IF(B377="","",C377*IFERROR(INDEX(Produtos!$D$5:$D$44,MATCH(B377,Produtos!$A$5:$A$44,0)),0))</f>
        <v/>
      </c>
      <c r="H377" s="16" t="str">
        <f aca="false">IF(B377="","",F377*IFERROR(INDEX(Despesas!$B$5:$B$8,MATCH(D377,Despesas!$A$5:$A$8,0)),0))</f>
        <v/>
      </c>
      <c r="I377" s="16" t="str">
        <f aca="false">IF(B377="","",F377-G377-H377)</f>
        <v/>
      </c>
    </row>
    <row r="378" customFormat="false" ht="15" hidden="false" customHeight="false" outlineLevel="0" collapsed="false">
      <c r="A378" s="34"/>
      <c r="B378" s="30"/>
      <c r="C378" s="30"/>
      <c r="D378" s="30"/>
      <c r="E378" s="16" t="str">
        <f aca="false">IF(B378="","",IFERROR(INDEX(Produtos!$C$5:$C$44,MATCH(B378,Produtos!$A$5:$A$44,0)),0))</f>
        <v/>
      </c>
      <c r="F378" s="16" t="str">
        <f aca="false">IF(B378="","",C378*E378)</f>
        <v/>
      </c>
      <c r="G378" s="16" t="str">
        <f aca="false">IF(B378="","",C378*IFERROR(INDEX(Produtos!$D$5:$D$44,MATCH(B378,Produtos!$A$5:$A$44,0)),0))</f>
        <v/>
      </c>
      <c r="H378" s="16" t="str">
        <f aca="false">IF(B378="","",F378*IFERROR(INDEX(Despesas!$B$5:$B$8,MATCH(D378,Despesas!$A$5:$A$8,0)),0))</f>
        <v/>
      </c>
      <c r="I378" s="16" t="str">
        <f aca="false">IF(B378="","",F378-G378-H378)</f>
        <v/>
      </c>
    </row>
    <row r="379" customFormat="false" ht="15" hidden="false" customHeight="false" outlineLevel="0" collapsed="false">
      <c r="A379" s="34"/>
      <c r="B379" s="30"/>
      <c r="C379" s="30"/>
      <c r="D379" s="30"/>
      <c r="E379" s="16" t="str">
        <f aca="false">IF(B379="","",IFERROR(INDEX(Produtos!$C$5:$C$44,MATCH(B379,Produtos!$A$5:$A$44,0)),0))</f>
        <v/>
      </c>
      <c r="F379" s="16" t="str">
        <f aca="false">IF(B379="","",C379*E379)</f>
        <v/>
      </c>
      <c r="G379" s="16" t="str">
        <f aca="false">IF(B379="","",C379*IFERROR(INDEX(Produtos!$D$5:$D$44,MATCH(B379,Produtos!$A$5:$A$44,0)),0))</f>
        <v/>
      </c>
      <c r="H379" s="16" t="str">
        <f aca="false">IF(B379="","",F379*IFERROR(INDEX(Despesas!$B$5:$B$8,MATCH(D379,Despesas!$A$5:$A$8,0)),0))</f>
        <v/>
      </c>
      <c r="I379" s="16" t="str">
        <f aca="false">IF(B379="","",F379-G379-H379)</f>
        <v/>
      </c>
    </row>
    <row r="380" customFormat="false" ht="15" hidden="false" customHeight="false" outlineLevel="0" collapsed="false">
      <c r="A380" s="34"/>
      <c r="B380" s="30"/>
      <c r="C380" s="30"/>
      <c r="D380" s="30"/>
      <c r="E380" s="16" t="str">
        <f aca="false">IF(B380="","",IFERROR(INDEX(Produtos!$C$5:$C$44,MATCH(B380,Produtos!$A$5:$A$44,0)),0))</f>
        <v/>
      </c>
      <c r="F380" s="16" t="str">
        <f aca="false">IF(B380="","",C380*E380)</f>
        <v/>
      </c>
      <c r="G380" s="16" t="str">
        <f aca="false">IF(B380="","",C380*IFERROR(INDEX(Produtos!$D$5:$D$44,MATCH(B380,Produtos!$A$5:$A$44,0)),0))</f>
        <v/>
      </c>
      <c r="H380" s="16" t="str">
        <f aca="false">IF(B380="","",F380*IFERROR(INDEX(Despesas!$B$5:$B$8,MATCH(D380,Despesas!$A$5:$A$8,0)),0))</f>
        <v/>
      </c>
      <c r="I380" s="16" t="str">
        <f aca="false">IF(B380="","",F380-G380-H380)</f>
        <v/>
      </c>
    </row>
    <row r="381" customFormat="false" ht="15" hidden="false" customHeight="false" outlineLevel="0" collapsed="false">
      <c r="A381" s="34"/>
      <c r="B381" s="30"/>
      <c r="C381" s="30"/>
      <c r="D381" s="30"/>
      <c r="E381" s="16" t="str">
        <f aca="false">IF(B381="","",IFERROR(INDEX(Produtos!$C$5:$C$44,MATCH(B381,Produtos!$A$5:$A$44,0)),0))</f>
        <v/>
      </c>
      <c r="F381" s="16" t="str">
        <f aca="false">IF(B381="","",C381*E381)</f>
        <v/>
      </c>
      <c r="G381" s="16" t="str">
        <f aca="false">IF(B381="","",C381*IFERROR(INDEX(Produtos!$D$5:$D$44,MATCH(B381,Produtos!$A$5:$A$44,0)),0))</f>
        <v/>
      </c>
      <c r="H381" s="16" t="str">
        <f aca="false">IF(B381="","",F381*IFERROR(INDEX(Despesas!$B$5:$B$8,MATCH(D381,Despesas!$A$5:$A$8,0)),0))</f>
        <v/>
      </c>
      <c r="I381" s="16" t="str">
        <f aca="false">IF(B381="","",F381-G381-H381)</f>
        <v/>
      </c>
    </row>
    <row r="382" customFormat="false" ht="15" hidden="false" customHeight="false" outlineLevel="0" collapsed="false">
      <c r="A382" s="34"/>
      <c r="B382" s="30"/>
      <c r="C382" s="30"/>
      <c r="D382" s="30"/>
      <c r="E382" s="16" t="str">
        <f aca="false">IF(B382="","",IFERROR(INDEX(Produtos!$C$5:$C$44,MATCH(B382,Produtos!$A$5:$A$44,0)),0))</f>
        <v/>
      </c>
      <c r="F382" s="16" t="str">
        <f aca="false">IF(B382="","",C382*E382)</f>
        <v/>
      </c>
      <c r="G382" s="16" t="str">
        <f aca="false">IF(B382="","",C382*IFERROR(INDEX(Produtos!$D$5:$D$44,MATCH(B382,Produtos!$A$5:$A$44,0)),0))</f>
        <v/>
      </c>
      <c r="H382" s="16" t="str">
        <f aca="false">IF(B382="","",F382*IFERROR(INDEX(Despesas!$B$5:$B$8,MATCH(D382,Despesas!$A$5:$A$8,0)),0))</f>
        <v/>
      </c>
      <c r="I382" s="16" t="str">
        <f aca="false">IF(B382="","",F382-G382-H382)</f>
        <v/>
      </c>
    </row>
    <row r="383" customFormat="false" ht="15" hidden="false" customHeight="false" outlineLevel="0" collapsed="false">
      <c r="A383" s="34"/>
      <c r="B383" s="30"/>
      <c r="C383" s="30"/>
      <c r="D383" s="30"/>
      <c r="E383" s="16" t="str">
        <f aca="false">IF(B383="","",IFERROR(INDEX(Produtos!$C$5:$C$44,MATCH(B383,Produtos!$A$5:$A$44,0)),0))</f>
        <v/>
      </c>
      <c r="F383" s="16" t="str">
        <f aca="false">IF(B383="","",C383*E383)</f>
        <v/>
      </c>
      <c r="G383" s="16" t="str">
        <f aca="false">IF(B383="","",C383*IFERROR(INDEX(Produtos!$D$5:$D$44,MATCH(B383,Produtos!$A$5:$A$44,0)),0))</f>
        <v/>
      </c>
      <c r="H383" s="16" t="str">
        <f aca="false">IF(B383="","",F383*IFERROR(INDEX(Despesas!$B$5:$B$8,MATCH(D383,Despesas!$A$5:$A$8,0)),0))</f>
        <v/>
      </c>
      <c r="I383" s="16" t="str">
        <f aca="false">IF(B383="","",F383-G383-H383)</f>
        <v/>
      </c>
    </row>
    <row r="384" customFormat="false" ht="15" hidden="false" customHeight="false" outlineLevel="0" collapsed="false">
      <c r="A384" s="34"/>
      <c r="B384" s="30"/>
      <c r="C384" s="30"/>
      <c r="D384" s="30"/>
      <c r="E384" s="16" t="str">
        <f aca="false">IF(B384="","",IFERROR(INDEX(Produtos!$C$5:$C$44,MATCH(B384,Produtos!$A$5:$A$44,0)),0))</f>
        <v/>
      </c>
      <c r="F384" s="16" t="str">
        <f aca="false">IF(B384="","",C384*E384)</f>
        <v/>
      </c>
      <c r="G384" s="16" t="str">
        <f aca="false">IF(B384="","",C384*IFERROR(INDEX(Produtos!$D$5:$D$44,MATCH(B384,Produtos!$A$5:$A$44,0)),0))</f>
        <v/>
      </c>
      <c r="H384" s="16" t="str">
        <f aca="false">IF(B384="","",F384*IFERROR(INDEX(Despesas!$B$5:$B$8,MATCH(D384,Despesas!$A$5:$A$8,0)),0))</f>
        <v/>
      </c>
      <c r="I384" s="16" t="str">
        <f aca="false">IF(B384="","",F384-G384-H384)</f>
        <v/>
      </c>
    </row>
    <row r="385" customFormat="false" ht="15" hidden="false" customHeight="false" outlineLevel="0" collapsed="false">
      <c r="A385" s="34"/>
      <c r="B385" s="30"/>
      <c r="C385" s="30"/>
      <c r="D385" s="30"/>
      <c r="E385" s="16" t="str">
        <f aca="false">IF(B385="","",IFERROR(INDEX(Produtos!$C$5:$C$44,MATCH(B385,Produtos!$A$5:$A$44,0)),0))</f>
        <v/>
      </c>
      <c r="F385" s="16" t="str">
        <f aca="false">IF(B385="","",C385*E385)</f>
        <v/>
      </c>
      <c r="G385" s="16" t="str">
        <f aca="false">IF(B385="","",C385*IFERROR(INDEX(Produtos!$D$5:$D$44,MATCH(B385,Produtos!$A$5:$A$44,0)),0))</f>
        <v/>
      </c>
      <c r="H385" s="16" t="str">
        <f aca="false">IF(B385="","",F385*IFERROR(INDEX(Despesas!$B$5:$B$8,MATCH(D385,Despesas!$A$5:$A$8,0)),0))</f>
        <v/>
      </c>
      <c r="I385" s="16" t="str">
        <f aca="false">IF(B385="","",F385-G385-H385)</f>
        <v/>
      </c>
    </row>
    <row r="386" customFormat="false" ht="15" hidden="false" customHeight="false" outlineLevel="0" collapsed="false">
      <c r="A386" s="34"/>
      <c r="B386" s="30"/>
      <c r="C386" s="30"/>
      <c r="D386" s="30"/>
      <c r="E386" s="16" t="str">
        <f aca="false">IF(B386="","",IFERROR(INDEX(Produtos!$C$5:$C$44,MATCH(B386,Produtos!$A$5:$A$44,0)),0))</f>
        <v/>
      </c>
      <c r="F386" s="16" t="str">
        <f aca="false">IF(B386="","",C386*E386)</f>
        <v/>
      </c>
      <c r="G386" s="16" t="str">
        <f aca="false">IF(B386="","",C386*IFERROR(INDEX(Produtos!$D$5:$D$44,MATCH(B386,Produtos!$A$5:$A$44,0)),0))</f>
        <v/>
      </c>
      <c r="H386" s="16" t="str">
        <f aca="false">IF(B386="","",F386*IFERROR(INDEX(Despesas!$B$5:$B$8,MATCH(D386,Despesas!$A$5:$A$8,0)),0))</f>
        <v/>
      </c>
      <c r="I386" s="16" t="str">
        <f aca="false">IF(B386="","",F386-G386-H386)</f>
        <v/>
      </c>
    </row>
    <row r="387" customFormat="false" ht="15" hidden="false" customHeight="false" outlineLevel="0" collapsed="false">
      <c r="A387" s="34"/>
      <c r="B387" s="30"/>
      <c r="C387" s="30"/>
      <c r="D387" s="30"/>
      <c r="E387" s="16" t="str">
        <f aca="false">IF(B387="","",IFERROR(INDEX(Produtos!$C$5:$C$44,MATCH(B387,Produtos!$A$5:$A$44,0)),0))</f>
        <v/>
      </c>
      <c r="F387" s="16" t="str">
        <f aca="false">IF(B387="","",C387*E387)</f>
        <v/>
      </c>
      <c r="G387" s="16" t="str">
        <f aca="false">IF(B387="","",C387*IFERROR(INDEX(Produtos!$D$5:$D$44,MATCH(B387,Produtos!$A$5:$A$44,0)),0))</f>
        <v/>
      </c>
      <c r="H387" s="16" t="str">
        <f aca="false">IF(B387="","",F387*IFERROR(INDEX(Despesas!$B$5:$B$8,MATCH(D387,Despesas!$A$5:$A$8,0)),0))</f>
        <v/>
      </c>
      <c r="I387" s="16" t="str">
        <f aca="false">IF(B387="","",F387-G387-H387)</f>
        <v/>
      </c>
    </row>
    <row r="388" customFormat="false" ht="15" hidden="false" customHeight="false" outlineLevel="0" collapsed="false">
      <c r="A388" s="34"/>
      <c r="B388" s="30"/>
      <c r="C388" s="30"/>
      <c r="D388" s="30"/>
      <c r="E388" s="16" t="str">
        <f aca="false">IF(B388="","",IFERROR(INDEX(Produtos!$C$5:$C$44,MATCH(B388,Produtos!$A$5:$A$44,0)),0))</f>
        <v/>
      </c>
      <c r="F388" s="16" t="str">
        <f aca="false">IF(B388="","",C388*E388)</f>
        <v/>
      </c>
      <c r="G388" s="16" t="str">
        <f aca="false">IF(B388="","",C388*IFERROR(INDEX(Produtos!$D$5:$D$44,MATCH(B388,Produtos!$A$5:$A$44,0)),0))</f>
        <v/>
      </c>
      <c r="H388" s="16" t="str">
        <f aca="false">IF(B388="","",F388*IFERROR(INDEX(Despesas!$B$5:$B$8,MATCH(D388,Despesas!$A$5:$A$8,0)),0))</f>
        <v/>
      </c>
      <c r="I388" s="16" t="str">
        <f aca="false">IF(B388="","",F388-G388-H388)</f>
        <v/>
      </c>
    </row>
    <row r="389" customFormat="false" ht="15" hidden="false" customHeight="false" outlineLevel="0" collapsed="false">
      <c r="A389" s="34"/>
      <c r="B389" s="30"/>
      <c r="C389" s="30"/>
      <c r="D389" s="30"/>
      <c r="E389" s="16" t="str">
        <f aca="false">IF(B389="","",IFERROR(INDEX(Produtos!$C$5:$C$44,MATCH(B389,Produtos!$A$5:$A$44,0)),0))</f>
        <v/>
      </c>
      <c r="F389" s="16" t="str">
        <f aca="false">IF(B389="","",C389*E389)</f>
        <v/>
      </c>
      <c r="G389" s="16" t="str">
        <f aca="false">IF(B389="","",C389*IFERROR(INDEX(Produtos!$D$5:$D$44,MATCH(B389,Produtos!$A$5:$A$44,0)),0))</f>
        <v/>
      </c>
      <c r="H389" s="16" t="str">
        <f aca="false">IF(B389="","",F389*IFERROR(INDEX(Despesas!$B$5:$B$8,MATCH(D389,Despesas!$A$5:$A$8,0)),0))</f>
        <v/>
      </c>
      <c r="I389" s="16" t="str">
        <f aca="false">IF(B389="","",F389-G389-H389)</f>
        <v/>
      </c>
    </row>
    <row r="390" customFormat="false" ht="15" hidden="false" customHeight="false" outlineLevel="0" collapsed="false">
      <c r="A390" s="34"/>
      <c r="B390" s="30"/>
      <c r="C390" s="30"/>
      <c r="D390" s="30"/>
      <c r="E390" s="16" t="str">
        <f aca="false">IF(B390="","",IFERROR(INDEX(Produtos!$C$5:$C$44,MATCH(B390,Produtos!$A$5:$A$44,0)),0))</f>
        <v/>
      </c>
      <c r="F390" s="16" t="str">
        <f aca="false">IF(B390="","",C390*E390)</f>
        <v/>
      </c>
      <c r="G390" s="16" t="str">
        <f aca="false">IF(B390="","",C390*IFERROR(INDEX(Produtos!$D$5:$D$44,MATCH(B390,Produtos!$A$5:$A$44,0)),0))</f>
        <v/>
      </c>
      <c r="H390" s="16" t="str">
        <f aca="false">IF(B390="","",F390*IFERROR(INDEX(Despesas!$B$5:$B$8,MATCH(D390,Despesas!$A$5:$A$8,0)),0))</f>
        <v/>
      </c>
      <c r="I390" s="16" t="str">
        <f aca="false">IF(B390="","",F390-G390-H390)</f>
        <v/>
      </c>
    </row>
    <row r="391" customFormat="false" ht="15" hidden="false" customHeight="false" outlineLevel="0" collapsed="false">
      <c r="A391" s="34"/>
      <c r="B391" s="30"/>
      <c r="C391" s="30"/>
      <c r="D391" s="30"/>
      <c r="E391" s="16" t="str">
        <f aca="false">IF(B391="","",IFERROR(INDEX(Produtos!$C$5:$C$44,MATCH(B391,Produtos!$A$5:$A$44,0)),0))</f>
        <v/>
      </c>
      <c r="F391" s="16" t="str">
        <f aca="false">IF(B391="","",C391*E391)</f>
        <v/>
      </c>
      <c r="G391" s="16" t="str">
        <f aca="false">IF(B391="","",C391*IFERROR(INDEX(Produtos!$D$5:$D$44,MATCH(B391,Produtos!$A$5:$A$44,0)),0))</f>
        <v/>
      </c>
      <c r="H391" s="16" t="str">
        <f aca="false">IF(B391="","",F391*IFERROR(INDEX(Despesas!$B$5:$B$8,MATCH(D391,Despesas!$A$5:$A$8,0)),0))</f>
        <v/>
      </c>
      <c r="I391" s="16" t="str">
        <f aca="false">IF(B391="","",F391-G391-H391)</f>
        <v/>
      </c>
    </row>
    <row r="392" customFormat="false" ht="15" hidden="false" customHeight="false" outlineLevel="0" collapsed="false">
      <c r="A392" s="34"/>
      <c r="B392" s="30"/>
      <c r="C392" s="30"/>
      <c r="D392" s="30"/>
      <c r="E392" s="16" t="str">
        <f aca="false">IF(B392="","",IFERROR(INDEX(Produtos!$C$5:$C$44,MATCH(B392,Produtos!$A$5:$A$44,0)),0))</f>
        <v/>
      </c>
      <c r="F392" s="16" t="str">
        <f aca="false">IF(B392="","",C392*E392)</f>
        <v/>
      </c>
      <c r="G392" s="16" t="str">
        <f aca="false">IF(B392="","",C392*IFERROR(INDEX(Produtos!$D$5:$D$44,MATCH(B392,Produtos!$A$5:$A$44,0)),0))</f>
        <v/>
      </c>
      <c r="H392" s="16" t="str">
        <f aca="false">IF(B392="","",F392*IFERROR(INDEX(Despesas!$B$5:$B$8,MATCH(D392,Despesas!$A$5:$A$8,0)),0))</f>
        <v/>
      </c>
      <c r="I392" s="16" t="str">
        <f aca="false">IF(B392="","",F392-G392-H392)</f>
        <v/>
      </c>
    </row>
    <row r="393" customFormat="false" ht="15" hidden="false" customHeight="false" outlineLevel="0" collapsed="false">
      <c r="A393" s="34"/>
      <c r="B393" s="30"/>
      <c r="C393" s="30"/>
      <c r="D393" s="30"/>
      <c r="E393" s="16" t="str">
        <f aca="false">IF(B393="","",IFERROR(INDEX(Produtos!$C$5:$C$44,MATCH(B393,Produtos!$A$5:$A$44,0)),0))</f>
        <v/>
      </c>
      <c r="F393" s="16" t="str">
        <f aca="false">IF(B393="","",C393*E393)</f>
        <v/>
      </c>
      <c r="G393" s="16" t="str">
        <f aca="false">IF(B393="","",C393*IFERROR(INDEX(Produtos!$D$5:$D$44,MATCH(B393,Produtos!$A$5:$A$44,0)),0))</f>
        <v/>
      </c>
      <c r="H393" s="16" t="str">
        <f aca="false">IF(B393="","",F393*IFERROR(INDEX(Despesas!$B$5:$B$8,MATCH(D393,Despesas!$A$5:$A$8,0)),0))</f>
        <v/>
      </c>
      <c r="I393" s="16" t="str">
        <f aca="false">IF(B393="","",F393-G393-H393)</f>
        <v/>
      </c>
    </row>
    <row r="394" customFormat="false" ht="15" hidden="false" customHeight="false" outlineLevel="0" collapsed="false">
      <c r="A394" s="34"/>
      <c r="B394" s="30"/>
      <c r="C394" s="30"/>
      <c r="D394" s="30"/>
      <c r="E394" s="16" t="str">
        <f aca="false">IF(B394="","",IFERROR(INDEX(Produtos!$C$5:$C$44,MATCH(B394,Produtos!$A$5:$A$44,0)),0))</f>
        <v/>
      </c>
      <c r="F394" s="16" t="str">
        <f aca="false">IF(B394="","",C394*E394)</f>
        <v/>
      </c>
      <c r="G394" s="16" t="str">
        <f aca="false">IF(B394="","",C394*IFERROR(INDEX(Produtos!$D$5:$D$44,MATCH(B394,Produtos!$A$5:$A$44,0)),0))</f>
        <v/>
      </c>
      <c r="H394" s="16" t="str">
        <f aca="false">IF(B394="","",F394*IFERROR(INDEX(Despesas!$B$5:$B$8,MATCH(D394,Despesas!$A$5:$A$8,0)),0))</f>
        <v/>
      </c>
      <c r="I394" s="16" t="str">
        <f aca="false">IF(B394="","",F394-G394-H394)</f>
        <v/>
      </c>
    </row>
    <row r="395" customFormat="false" ht="15" hidden="false" customHeight="false" outlineLevel="0" collapsed="false">
      <c r="A395" s="34"/>
      <c r="B395" s="30"/>
      <c r="C395" s="30"/>
      <c r="D395" s="30"/>
      <c r="E395" s="16" t="str">
        <f aca="false">IF(B395="","",IFERROR(INDEX(Produtos!$C$5:$C$44,MATCH(B395,Produtos!$A$5:$A$44,0)),0))</f>
        <v/>
      </c>
      <c r="F395" s="16" t="str">
        <f aca="false">IF(B395="","",C395*E395)</f>
        <v/>
      </c>
      <c r="G395" s="16" t="str">
        <f aca="false">IF(B395="","",C395*IFERROR(INDEX(Produtos!$D$5:$D$44,MATCH(B395,Produtos!$A$5:$A$44,0)),0))</f>
        <v/>
      </c>
      <c r="H395" s="16" t="str">
        <f aca="false">IF(B395="","",F395*IFERROR(INDEX(Despesas!$B$5:$B$8,MATCH(D395,Despesas!$A$5:$A$8,0)),0))</f>
        <v/>
      </c>
      <c r="I395" s="16" t="str">
        <f aca="false">IF(B395="","",F395-G395-H395)</f>
        <v/>
      </c>
    </row>
    <row r="396" customFormat="false" ht="15" hidden="false" customHeight="false" outlineLevel="0" collapsed="false">
      <c r="A396" s="34"/>
      <c r="B396" s="30"/>
      <c r="C396" s="30"/>
      <c r="D396" s="30"/>
      <c r="E396" s="16" t="str">
        <f aca="false">IF(B396="","",IFERROR(INDEX(Produtos!$C$5:$C$44,MATCH(B396,Produtos!$A$5:$A$44,0)),0))</f>
        <v/>
      </c>
      <c r="F396" s="16" t="str">
        <f aca="false">IF(B396="","",C396*E396)</f>
        <v/>
      </c>
      <c r="G396" s="16" t="str">
        <f aca="false">IF(B396="","",C396*IFERROR(INDEX(Produtos!$D$5:$D$44,MATCH(B396,Produtos!$A$5:$A$44,0)),0))</f>
        <v/>
      </c>
      <c r="H396" s="16" t="str">
        <f aca="false">IF(B396="","",F396*IFERROR(INDEX(Despesas!$B$5:$B$8,MATCH(D396,Despesas!$A$5:$A$8,0)),0))</f>
        <v/>
      </c>
      <c r="I396" s="16" t="str">
        <f aca="false">IF(B396="","",F396-G396-H396)</f>
        <v/>
      </c>
    </row>
    <row r="397" customFormat="false" ht="15" hidden="false" customHeight="false" outlineLevel="0" collapsed="false">
      <c r="A397" s="34"/>
      <c r="B397" s="30"/>
      <c r="C397" s="30"/>
      <c r="D397" s="30"/>
      <c r="E397" s="16" t="str">
        <f aca="false">IF(B397="","",IFERROR(INDEX(Produtos!$C$5:$C$44,MATCH(B397,Produtos!$A$5:$A$44,0)),0))</f>
        <v/>
      </c>
      <c r="F397" s="16" t="str">
        <f aca="false">IF(B397="","",C397*E397)</f>
        <v/>
      </c>
      <c r="G397" s="16" t="str">
        <f aca="false">IF(B397="","",C397*IFERROR(INDEX(Produtos!$D$5:$D$44,MATCH(B397,Produtos!$A$5:$A$44,0)),0))</f>
        <v/>
      </c>
      <c r="H397" s="16" t="str">
        <f aca="false">IF(B397="","",F397*IFERROR(INDEX(Despesas!$B$5:$B$8,MATCH(D397,Despesas!$A$5:$A$8,0)),0))</f>
        <v/>
      </c>
      <c r="I397" s="16" t="str">
        <f aca="false">IF(B397="","",F397-G397-H397)</f>
        <v/>
      </c>
    </row>
    <row r="398" customFormat="false" ht="15" hidden="false" customHeight="false" outlineLevel="0" collapsed="false">
      <c r="A398" s="34"/>
      <c r="B398" s="30"/>
      <c r="C398" s="30"/>
      <c r="D398" s="30"/>
      <c r="E398" s="16" t="str">
        <f aca="false">IF(B398="","",IFERROR(INDEX(Produtos!$C$5:$C$44,MATCH(B398,Produtos!$A$5:$A$44,0)),0))</f>
        <v/>
      </c>
      <c r="F398" s="16" t="str">
        <f aca="false">IF(B398="","",C398*E398)</f>
        <v/>
      </c>
      <c r="G398" s="16" t="str">
        <f aca="false">IF(B398="","",C398*IFERROR(INDEX(Produtos!$D$5:$D$44,MATCH(B398,Produtos!$A$5:$A$44,0)),0))</f>
        <v/>
      </c>
      <c r="H398" s="16" t="str">
        <f aca="false">IF(B398="","",F398*IFERROR(INDEX(Despesas!$B$5:$B$8,MATCH(D398,Despesas!$A$5:$A$8,0)),0))</f>
        <v/>
      </c>
      <c r="I398" s="16" t="str">
        <f aca="false">IF(B398="","",F398-G398-H398)</f>
        <v/>
      </c>
    </row>
    <row r="399" customFormat="false" ht="15" hidden="false" customHeight="false" outlineLevel="0" collapsed="false">
      <c r="A399" s="34"/>
      <c r="B399" s="30"/>
      <c r="C399" s="30"/>
      <c r="D399" s="30"/>
      <c r="E399" s="16" t="str">
        <f aca="false">IF(B399="","",IFERROR(INDEX(Produtos!$C$5:$C$44,MATCH(B399,Produtos!$A$5:$A$44,0)),0))</f>
        <v/>
      </c>
      <c r="F399" s="16" t="str">
        <f aca="false">IF(B399="","",C399*E399)</f>
        <v/>
      </c>
      <c r="G399" s="16" t="str">
        <f aca="false">IF(B399="","",C399*IFERROR(INDEX(Produtos!$D$5:$D$44,MATCH(B399,Produtos!$A$5:$A$44,0)),0))</f>
        <v/>
      </c>
      <c r="H399" s="16" t="str">
        <f aca="false">IF(B399="","",F399*IFERROR(INDEX(Despesas!$B$5:$B$8,MATCH(D399,Despesas!$A$5:$A$8,0)),0))</f>
        <v/>
      </c>
      <c r="I399" s="16" t="str">
        <f aca="false">IF(B399="","",F399-G399-H399)</f>
        <v/>
      </c>
    </row>
    <row r="400" customFormat="false" ht="15" hidden="false" customHeight="false" outlineLevel="0" collapsed="false">
      <c r="A400" s="34"/>
      <c r="B400" s="30"/>
      <c r="C400" s="30"/>
      <c r="D400" s="30"/>
      <c r="E400" s="16" t="str">
        <f aca="false">IF(B400="","",IFERROR(INDEX(Produtos!$C$5:$C$44,MATCH(B400,Produtos!$A$5:$A$44,0)),0))</f>
        <v/>
      </c>
      <c r="F400" s="16" t="str">
        <f aca="false">IF(B400="","",C400*E400)</f>
        <v/>
      </c>
      <c r="G400" s="16" t="str">
        <f aca="false">IF(B400="","",C400*IFERROR(INDEX(Produtos!$D$5:$D$44,MATCH(B400,Produtos!$A$5:$A$44,0)),0))</f>
        <v/>
      </c>
      <c r="H400" s="16" t="str">
        <f aca="false">IF(B400="","",F400*IFERROR(INDEX(Despesas!$B$5:$B$8,MATCH(D400,Despesas!$A$5:$A$8,0)),0))</f>
        <v/>
      </c>
      <c r="I400" s="16" t="str">
        <f aca="false">IF(B400="","",F400-G400-H400)</f>
        <v/>
      </c>
    </row>
    <row r="401" customFormat="false" ht="15" hidden="false" customHeight="false" outlineLevel="0" collapsed="false">
      <c r="A401" s="34"/>
      <c r="B401" s="30"/>
      <c r="C401" s="30"/>
      <c r="D401" s="30"/>
      <c r="E401" s="16" t="str">
        <f aca="false">IF(B401="","",IFERROR(INDEX(Produtos!$C$5:$C$44,MATCH(B401,Produtos!$A$5:$A$44,0)),0))</f>
        <v/>
      </c>
      <c r="F401" s="16" t="str">
        <f aca="false">IF(B401="","",C401*E401)</f>
        <v/>
      </c>
      <c r="G401" s="16" t="str">
        <f aca="false">IF(B401="","",C401*IFERROR(INDEX(Produtos!$D$5:$D$44,MATCH(B401,Produtos!$A$5:$A$44,0)),0))</f>
        <v/>
      </c>
      <c r="H401" s="16" t="str">
        <f aca="false">IF(B401="","",F401*IFERROR(INDEX(Despesas!$B$5:$B$8,MATCH(D401,Despesas!$A$5:$A$8,0)),0))</f>
        <v/>
      </c>
      <c r="I401" s="16" t="str">
        <f aca="false">IF(B401="","",F401-G401-H401)</f>
        <v/>
      </c>
    </row>
    <row r="402" customFormat="false" ht="15" hidden="false" customHeight="false" outlineLevel="0" collapsed="false">
      <c r="A402" s="34"/>
      <c r="B402" s="30"/>
      <c r="C402" s="30"/>
      <c r="D402" s="30"/>
      <c r="E402" s="16" t="str">
        <f aca="false">IF(B402="","",IFERROR(INDEX(Produtos!$C$5:$C$44,MATCH(B402,Produtos!$A$5:$A$44,0)),0))</f>
        <v/>
      </c>
      <c r="F402" s="16" t="str">
        <f aca="false">IF(B402="","",C402*E402)</f>
        <v/>
      </c>
      <c r="G402" s="16" t="str">
        <f aca="false">IF(B402="","",C402*IFERROR(INDEX(Produtos!$D$5:$D$44,MATCH(B402,Produtos!$A$5:$A$44,0)),0))</f>
        <v/>
      </c>
      <c r="H402" s="16" t="str">
        <f aca="false">IF(B402="","",F402*IFERROR(INDEX(Despesas!$B$5:$B$8,MATCH(D402,Despesas!$A$5:$A$8,0)),0))</f>
        <v/>
      </c>
      <c r="I402" s="16" t="str">
        <f aca="false">IF(B402="","",F402-G402-H402)</f>
        <v/>
      </c>
    </row>
    <row r="403" customFormat="false" ht="15" hidden="false" customHeight="false" outlineLevel="0" collapsed="false">
      <c r="A403" s="34"/>
      <c r="B403" s="30"/>
      <c r="C403" s="30"/>
      <c r="D403" s="30"/>
      <c r="E403" s="16" t="str">
        <f aca="false">IF(B403="","",IFERROR(INDEX(Produtos!$C$5:$C$44,MATCH(B403,Produtos!$A$5:$A$44,0)),0))</f>
        <v/>
      </c>
      <c r="F403" s="16" t="str">
        <f aca="false">IF(B403="","",C403*E403)</f>
        <v/>
      </c>
      <c r="G403" s="16" t="str">
        <f aca="false">IF(B403="","",C403*IFERROR(INDEX(Produtos!$D$5:$D$44,MATCH(B403,Produtos!$A$5:$A$44,0)),0))</f>
        <v/>
      </c>
      <c r="H403" s="16" t="str">
        <f aca="false">IF(B403="","",F403*IFERROR(INDEX(Despesas!$B$5:$B$8,MATCH(D403,Despesas!$A$5:$A$8,0)),0))</f>
        <v/>
      </c>
      <c r="I403" s="16" t="str">
        <f aca="false">IF(B403="","",F403-G403-H403)</f>
        <v/>
      </c>
    </row>
    <row r="404" customFormat="false" ht="15" hidden="false" customHeight="false" outlineLevel="0" collapsed="false">
      <c r="A404" s="34"/>
      <c r="B404" s="30"/>
      <c r="C404" s="30"/>
      <c r="D404" s="30"/>
      <c r="E404" s="16" t="str">
        <f aca="false">IF(B404="","",IFERROR(INDEX(Produtos!$C$5:$C$44,MATCH(B404,Produtos!$A$5:$A$44,0)),0))</f>
        <v/>
      </c>
      <c r="F404" s="16" t="str">
        <f aca="false">IF(B404="","",C404*E404)</f>
        <v/>
      </c>
      <c r="G404" s="16" t="str">
        <f aca="false">IF(B404="","",C404*IFERROR(INDEX(Produtos!$D$5:$D$44,MATCH(B404,Produtos!$A$5:$A$44,0)),0))</f>
        <v/>
      </c>
      <c r="H404" s="16" t="str">
        <f aca="false">IF(B404="","",F404*IFERROR(INDEX(Despesas!$B$5:$B$8,MATCH(D404,Despesas!$A$5:$A$8,0)),0))</f>
        <v/>
      </c>
      <c r="I404" s="16" t="str">
        <f aca="false">IF(B404="","",F404-G404-H404)</f>
        <v/>
      </c>
    </row>
    <row r="405" customFormat="false" ht="15" hidden="false" customHeight="false" outlineLevel="0" collapsed="false">
      <c r="A405" s="34"/>
      <c r="B405" s="30"/>
      <c r="C405" s="30"/>
      <c r="D405" s="30"/>
      <c r="E405" s="16" t="str">
        <f aca="false">IF(B405="","",IFERROR(INDEX(Produtos!$C$5:$C$44,MATCH(B405,Produtos!$A$5:$A$44,0)),0))</f>
        <v/>
      </c>
      <c r="F405" s="16" t="str">
        <f aca="false">IF(B405="","",C405*E405)</f>
        <v/>
      </c>
      <c r="G405" s="16" t="str">
        <f aca="false">IF(B405="","",C405*IFERROR(INDEX(Produtos!$D$5:$D$44,MATCH(B405,Produtos!$A$5:$A$44,0)),0))</f>
        <v/>
      </c>
      <c r="H405" s="16" t="str">
        <f aca="false">IF(B405="","",F405*IFERROR(INDEX(Despesas!$B$5:$B$8,MATCH(D405,Despesas!$A$5:$A$8,0)),0))</f>
        <v/>
      </c>
      <c r="I405" s="16" t="str">
        <f aca="false">IF(B405="","",F405-G405-H405)</f>
        <v/>
      </c>
    </row>
    <row r="406" customFormat="false" ht="15" hidden="false" customHeight="false" outlineLevel="0" collapsed="false">
      <c r="A406" s="34"/>
      <c r="B406" s="30"/>
      <c r="C406" s="30"/>
      <c r="D406" s="30"/>
      <c r="E406" s="16" t="str">
        <f aca="false">IF(B406="","",IFERROR(INDEX(Produtos!$C$5:$C$44,MATCH(B406,Produtos!$A$5:$A$44,0)),0))</f>
        <v/>
      </c>
      <c r="F406" s="16" t="str">
        <f aca="false">IF(B406="","",C406*E406)</f>
        <v/>
      </c>
      <c r="G406" s="16" t="str">
        <f aca="false">IF(B406="","",C406*IFERROR(INDEX(Produtos!$D$5:$D$44,MATCH(B406,Produtos!$A$5:$A$44,0)),0))</f>
        <v/>
      </c>
      <c r="H406" s="16" t="str">
        <f aca="false">IF(B406="","",F406*IFERROR(INDEX(Despesas!$B$5:$B$8,MATCH(D406,Despesas!$A$5:$A$8,0)),0))</f>
        <v/>
      </c>
      <c r="I406" s="16" t="str">
        <f aca="false">IF(B406="","",F406-G406-H406)</f>
        <v/>
      </c>
    </row>
    <row r="407" customFormat="false" ht="15" hidden="false" customHeight="false" outlineLevel="0" collapsed="false">
      <c r="A407" s="34"/>
      <c r="B407" s="30"/>
      <c r="C407" s="30"/>
      <c r="D407" s="30"/>
      <c r="E407" s="16" t="str">
        <f aca="false">IF(B407="","",IFERROR(INDEX(Produtos!$C$5:$C$44,MATCH(B407,Produtos!$A$5:$A$44,0)),0))</f>
        <v/>
      </c>
      <c r="F407" s="16" t="str">
        <f aca="false">IF(B407="","",C407*E407)</f>
        <v/>
      </c>
      <c r="G407" s="16" t="str">
        <f aca="false">IF(B407="","",C407*IFERROR(INDEX(Produtos!$D$5:$D$44,MATCH(B407,Produtos!$A$5:$A$44,0)),0))</f>
        <v/>
      </c>
      <c r="H407" s="16" t="str">
        <f aca="false">IF(B407="","",F407*IFERROR(INDEX(Despesas!$B$5:$B$8,MATCH(D407,Despesas!$A$5:$A$8,0)),0))</f>
        <v/>
      </c>
      <c r="I407" s="16" t="str">
        <f aca="false">IF(B407="","",F407-G407-H407)</f>
        <v/>
      </c>
    </row>
    <row r="408" customFormat="false" ht="15" hidden="false" customHeight="false" outlineLevel="0" collapsed="false">
      <c r="A408" s="34"/>
      <c r="B408" s="30"/>
      <c r="C408" s="30"/>
      <c r="D408" s="30"/>
      <c r="E408" s="16" t="str">
        <f aca="false">IF(B408="","",IFERROR(INDEX(Produtos!$C$5:$C$44,MATCH(B408,Produtos!$A$5:$A$44,0)),0))</f>
        <v/>
      </c>
      <c r="F408" s="16" t="str">
        <f aca="false">IF(B408="","",C408*E408)</f>
        <v/>
      </c>
      <c r="G408" s="16" t="str">
        <f aca="false">IF(B408="","",C408*IFERROR(INDEX(Produtos!$D$5:$D$44,MATCH(B408,Produtos!$A$5:$A$44,0)),0))</f>
        <v/>
      </c>
      <c r="H408" s="16" t="str">
        <f aca="false">IF(B408="","",F408*IFERROR(INDEX(Despesas!$B$5:$B$8,MATCH(D408,Despesas!$A$5:$A$8,0)),0))</f>
        <v/>
      </c>
      <c r="I408" s="16" t="str">
        <f aca="false">IF(B408="","",F408-G408-H408)</f>
        <v/>
      </c>
    </row>
    <row r="409" customFormat="false" ht="15" hidden="false" customHeight="false" outlineLevel="0" collapsed="false">
      <c r="A409" s="34"/>
      <c r="B409" s="30"/>
      <c r="C409" s="30"/>
      <c r="D409" s="30"/>
      <c r="E409" s="16" t="str">
        <f aca="false">IF(B409="","",IFERROR(INDEX(Produtos!$C$5:$C$44,MATCH(B409,Produtos!$A$5:$A$44,0)),0))</f>
        <v/>
      </c>
      <c r="F409" s="16" t="str">
        <f aca="false">IF(B409="","",C409*E409)</f>
        <v/>
      </c>
      <c r="G409" s="16" t="str">
        <f aca="false">IF(B409="","",C409*IFERROR(INDEX(Produtos!$D$5:$D$44,MATCH(B409,Produtos!$A$5:$A$44,0)),0))</f>
        <v/>
      </c>
      <c r="H409" s="16" t="str">
        <f aca="false">IF(B409="","",F409*IFERROR(INDEX(Despesas!$B$5:$B$8,MATCH(D409,Despesas!$A$5:$A$8,0)),0))</f>
        <v/>
      </c>
      <c r="I409" s="16" t="str">
        <f aca="false">IF(B409="","",F409-G409-H409)</f>
        <v/>
      </c>
    </row>
    <row r="410" customFormat="false" ht="15" hidden="false" customHeight="false" outlineLevel="0" collapsed="false">
      <c r="A410" s="34"/>
      <c r="B410" s="30"/>
      <c r="C410" s="30"/>
      <c r="D410" s="30"/>
      <c r="E410" s="16" t="str">
        <f aca="false">IF(B410="","",IFERROR(INDEX(Produtos!$C$5:$C$44,MATCH(B410,Produtos!$A$5:$A$44,0)),0))</f>
        <v/>
      </c>
      <c r="F410" s="16" t="str">
        <f aca="false">IF(B410="","",C410*E410)</f>
        <v/>
      </c>
      <c r="G410" s="16" t="str">
        <f aca="false">IF(B410="","",C410*IFERROR(INDEX(Produtos!$D$5:$D$44,MATCH(B410,Produtos!$A$5:$A$44,0)),0))</f>
        <v/>
      </c>
      <c r="H410" s="16" t="str">
        <f aca="false">IF(B410="","",F410*IFERROR(INDEX(Despesas!$B$5:$B$8,MATCH(D410,Despesas!$A$5:$A$8,0)),0))</f>
        <v/>
      </c>
      <c r="I410" s="16" t="str">
        <f aca="false">IF(B410="","",F410-G410-H410)</f>
        <v/>
      </c>
    </row>
    <row r="411" customFormat="false" ht="15" hidden="false" customHeight="false" outlineLevel="0" collapsed="false">
      <c r="A411" s="34"/>
      <c r="B411" s="30"/>
      <c r="C411" s="30"/>
      <c r="D411" s="30"/>
      <c r="E411" s="16" t="str">
        <f aca="false">IF(B411="","",IFERROR(INDEX(Produtos!$C$5:$C$44,MATCH(B411,Produtos!$A$5:$A$44,0)),0))</f>
        <v/>
      </c>
      <c r="F411" s="16" t="str">
        <f aca="false">IF(B411="","",C411*E411)</f>
        <v/>
      </c>
      <c r="G411" s="16" t="str">
        <f aca="false">IF(B411="","",C411*IFERROR(INDEX(Produtos!$D$5:$D$44,MATCH(B411,Produtos!$A$5:$A$44,0)),0))</f>
        <v/>
      </c>
      <c r="H411" s="16" t="str">
        <f aca="false">IF(B411="","",F411*IFERROR(INDEX(Despesas!$B$5:$B$8,MATCH(D411,Despesas!$A$5:$A$8,0)),0))</f>
        <v/>
      </c>
      <c r="I411" s="16" t="str">
        <f aca="false">IF(B411="","",F411-G411-H411)</f>
        <v/>
      </c>
    </row>
    <row r="412" customFormat="false" ht="15" hidden="false" customHeight="false" outlineLevel="0" collapsed="false">
      <c r="A412" s="34"/>
      <c r="B412" s="30"/>
      <c r="C412" s="30"/>
      <c r="D412" s="30"/>
      <c r="E412" s="16" t="str">
        <f aca="false">IF(B412="","",IFERROR(INDEX(Produtos!$C$5:$C$44,MATCH(B412,Produtos!$A$5:$A$44,0)),0))</f>
        <v/>
      </c>
      <c r="F412" s="16" t="str">
        <f aca="false">IF(B412="","",C412*E412)</f>
        <v/>
      </c>
      <c r="G412" s="16" t="str">
        <f aca="false">IF(B412="","",C412*IFERROR(INDEX(Produtos!$D$5:$D$44,MATCH(B412,Produtos!$A$5:$A$44,0)),0))</f>
        <v/>
      </c>
      <c r="H412" s="16" t="str">
        <f aca="false">IF(B412="","",F412*IFERROR(INDEX(Despesas!$B$5:$B$8,MATCH(D412,Despesas!$A$5:$A$8,0)),0))</f>
        <v/>
      </c>
      <c r="I412" s="16" t="str">
        <f aca="false">IF(B412="","",F412-G412-H412)</f>
        <v/>
      </c>
    </row>
    <row r="413" customFormat="false" ht="15" hidden="false" customHeight="false" outlineLevel="0" collapsed="false">
      <c r="A413" s="34"/>
      <c r="B413" s="30"/>
      <c r="C413" s="30"/>
      <c r="D413" s="30"/>
      <c r="E413" s="16" t="str">
        <f aca="false">IF(B413="","",IFERROR(INDEX(Produtos!$C$5:$C$44,MATCH(B413,Produtos!$A$5:$A$44,0)),0))</f>
        <v/>
      </c>
      <c r="F413" s="16" t="str">
        <f aca="false">IF(B413="","",C413*E413)</f>
        <v/>
      </c>
      <c r="G413" s="16" t="str">
        <f aca="false">IF(B413="","",C413*IFERROR(INDEX(Produtos!$D$5:$D$44,MATCH(B413,Produtos!$A$5:$A$44,0)),0))</f>
        <v/>
      </c>
      <c r="H413" s="16" t="str">
        <f aca="false">IF(B413="","",F413*IFERROR(INDEX(Despesas!$B$5:$B$8,MATCH(D413,Despesas!$A$5:$A$8,0)),0))</f>
        <v/>
      </c>
      <c r="I413" s="16" t="str">
        <f aca="false">IF(B413="","",F413-G413-H413)</f>
        <v/>
      </c>
    </row>
    <row r="414" customFormat="false" ht="15" hidden="false" customHeight="false" outlineLevel="0" collapsed="false">
      <c r="A414" s="34"/>
      <c r="B414" s="30"/>
      <c r="C414" s="30"/>
      <c r="D414" s="30"/>
      <c r="E414" s="16" t="str">
        <f aca="false">IF(B414="","",IFERROR(INDEX(Produtos!$C$5:$C$44,MATCH(B414,Produtos!$A$5:$A$44,0)),0))</f>
        <v/>
      </c>
      <c r="F414" s="16" t="str">
        <f aca="false">IF(B414="","",C414*E414)</f>
        <v/>
      </c>
      <c r="G414" s="16" t="str">
        <f aca="false">IF(B414="","",C414*IFERROR(INDEX(Produtos!$D$5:$D$44,MATCH(B414,Produtos!$A$5:$A$44,0)),0))</f>
        <v/>
      </c>
      <c r="H414" s="16" t="str">
        <f aca="false">IF(B414="","",F414*IFERROR(INDEX(Despesas!$B$5:$B$8,MATCH(D414,Despesas!$A$5:$A$8,0)),0))</f>
        <v/>
      </c>
      <c r="I414" s="16" t="str">
        <f aca="false">IF(B414="","",F414-G414-H414)</f>
        <v/>
      </c>
    </row>
    <row r="415" customFormat="false" ht="15" hidden="false" customHeight="false" outlineLevel="0" collapsed="false">
      <c r="A415" s="34"/>
      <c r="B415" s="30"/>
      <c r="C415" s="30"/>
      <c r="D415" s="30"/>
      <c r="E415" s="16" t="str">
        <f aca="false">IF(B415="","",IFERROR(INDEX(Produtos!$C$5:$C$44,MATCH(B415,Produtos!$A$5:$A$44,0)),0))</f>
        <v/>
      </c>
      <c r="F415" s="16" t="str">
        <f aca="false">IF(B415="","",C415*E415)</f>
        <v/>
      </c>
      <c r="G415" s="16" t="str">
        <f aca="false">IF(B415="","",C415*IFERROR(INDEX(Produtos!$D$5:$D$44,MATCH(B415,Produtos!$A$5:$A$44,0)),0))</f>
        <v/>
      </c>
      <c r="H415" s="16" t="str">
        <f aca="false">IF(B415="","",F415*IFERROR(INDEX(Despesas!$B$5:$B$8,MATCH(D415,Despesas!$A$5:$A$8,0)),0))</f>
        <v/>
      </c>
      <c r="I415" s="16" t="str">
        <f aca="false">IF(B415="","",F415-G415-H415)</f>
        <v/>
      </c>
    </row>
    <row r="416" customFormat="false" ht="15" hidden="false" customHeight="false" outlineLevel="0" collapsed="false">
      <c r="A416" s="34"/>
      <c r="B416" s="30"/>
      <c r="C416" s="30"/>
      <c r="D416" s="30"/>
      <c r="E416" s="16" t="str">
        <f aca="false">IF(B416="","",IFERROR(INDEX(Produtos!$C$5:$C$44,MATCH(B416,Produtos!$A$5:$A$44,0)),0))</f>
        <v/>
      </c>
      <c r="F416" s="16" t="str">
        <f aca="false">IF(B416="","",C416*E416)</f>
        <v/>
      </c>
      <c r="G416" s="16" t="str">
        <f aca="false">IF(B416="","",C416*IFERROR(INDEX(Produtos!$D$5:$D$44,MATCH(B416,Produtos!$A$5:$A$44,0)),0))</f>
        <v/>
      </c>
      <c r="H416" s="16" t="str">
        <f aca="false">IF(B416="","",F416*IFERROR(INDEX(Despesas!$B$5:$B$8,MATCH(D416,Despesas!$A$5:$A$8,0)),0))</f>
        <v/>
      </c>
      <c r="I416" s="16" t="str">
        <f aca="false">IF(B416="","",F416-G416-H416)</f>
        <v/>
      </c>
    </row>
    <row r="417" customFormat="false" ht="15" hidden="false" customHeight="false" outlineLevel="0" collapsed="false">
      <c r="A417" s="34"/>
      <c r="B417" s="30"/>
      <c r="C417" s="30"/>
      <c r="D417" s="30"/>
      <c r="E417" s="16" t="str">
        <f aca="false">IF(B417="","",IFERROR(INDEX(Produtos!$C$5:$C$44,MATCH(B417,Produtos!$A$5:$A$44,0)),0))</f>
        <v/>
      </c>
      <c r="F417" s="16" t="str">
        <f aca="false">IF(B417="","",C417*E417)</f>
        <v/>
      </c>
      <c r="G417" s="16" t="str">
        <f aca="false">IF(B417="","",C417*IFERROR(INDEX(Produtos!$D$5:$D$44,MATCH(B417,Produtos!$A$5:$A$44,0)),0))</f>
        <v/>
      </c>
      <c r="H417" s="16" t="str">
        <f aca="false">IF(B417="","",F417*IFERROR(INDEX(Despesas!$B$5:$B$8,MATCH(D417,Despesas!$A$5:$A$8,0)),0))</f>
        <v/>
      </c>
      <c r="I417" s="16" t="str">
        <f aca="false">IF(B417="","",F417-G417-H417)</f>
        <v/>
      </c>
    </row>
    <row r="418" customFormat="false" ht="15" hidden="false" customHeight="false" outlineLevel="0" collapsed="false">
      <c r="A418" s="34"/>
      <c r="B418" s="30"/>
      <c r="C418" s="30"/>
      <c r="D418" s="30"/>
      <c r="E418" s="16" t="str">
        <f aca="false">IF(B418="","",IFERROR(INDEX(Produtos!$C$5:$C$44,MATCH(B418,Produtos!$A$5:$A$44,0)),0))</f>
        <v/>
      </c>
      <c r="F418" s="16" t="str">
        <f aca="false">IF(B418="","",C418*E418)</f>
        <v/>
      </c>
      <c r="G418" s="16" t="str">
        <f aca="false">IF(B418="","",C418*IFERROR(INDEX(Produtos!$D$5:$D$44,MATCH(B418,Produtos!$A$5:$A$44,0)),0))</f>
        <v/>
      </c>
      <c r="H418" s="16" t="str">
        <f aca="false">IF(B418="","",F418*IFERROR(INDEX(Despesas!$B$5:$B$8,MATCH(D418,Despesas!$A$5:$A$8,0)),0))</f>
        <v/>
      </c>
      <c r="I418" s="16" t="str">
        <f aca="false">IF(B418="","",F418-G418-H418)</f>
        <v/>
      </c>
    </row>
    <row r="419" customFormat="false" ht="15" hidden="false" customHeight="false" outlineLevel="0" collapsed="false">
      <c r="A419" s="34"/>
      <c r="B419" s="30"/>
      <c r="C419" s="30"/>
      <c r="D419" s="30"/>
      <c r="E419" s="16" t="str">
        <f aca="false">IF(B419="","",IFERROR(INDEX(Produtos!$C$5:$C$44,MATCH(B419,Produtos!$A$5:$A$44,0)),0))</f>
        <v/>
      </c>
      <c r="F419" s="16" t="str">
        <f aca="false">IF(B419="","",C419*E419)</f>
        <v/>
      </c>
      <c r="G419" s="16" t="str">
        <f aca="false">IF(B419="","",C419*IFERROR(INDEX(Produtos!$D$5:$D$44,MATCH(B419,Produtos!$A$5:$A$44,0)),0))</f>
        <v/>
      </c>
      <c r="H419" s="16" t="str">
        <f aca="false">IF(B419="","",F419*IFERROR(INDEX(Despesas!$B$5:$B$8,MATCH(D419,Despesas!$A$5:$A$8,0)),0))</f>
        <v/>
      </c>
      <c r="I419" s="16" t="str">
        <f aca="false">IF(B419="","",F419-G419-H419)</f>
        <v/>
      </c>
    </row>
    <row r="420" customFormat="false" ht="15" hidden="false" customHeight="false" outlineLevel="0" collapsed="false">
      <c r="A420" s="34"/>
      <c r="B420" s="30"/>
      <c r="C420" s="30"/>
      <c r="D420" s="30"/>
      <c r="E420" s="16" t="str">
        <f aca="false">IF(B420="","",IFERROR(INDEX(Produtos!$C$5:$C$44,MATCH(B420,Produtos!$A$5:$A$44,0)),0))</f>
        <v/>
      </c>
      <c r="F420" s="16" t="str">
        <f aca="false">IF(B420="","",C420*E420)</f>
        <v/>
      </c>
      <c r="G420" s="16" t="str">
        <f aca="false">IF(B420="","",C420*IFERROR(INDEX(Produtos!$D$5:$D$44,MATCH(B420,Produtos!$A$5:$A$44,0)),0))</f>
        <v/>
      </c>
      <c r="H420" s="16" t="str">
        <f aca="false">IF(B420="","",F420*IFERROR(INDEX(Despesas!$B$5:$B$8,MATCH(D420,Despesas!$A$5:$A$8,0)),0))</f>
        <v/>
      </c>
      <c r="I420" s="16" t="str">
        <f aca="false">IF(B420="","",F420-G420-H420)</f>
        <v/>
      </c>
    </row>
    <row r="421" customFormat="false" ht="15" hidden="false" customHeight="false" outlineLevel="0" collapsed="false">
      <c r="A421" s="34"/>
      <c r="B421" s="30"/>
      <c r="C421" s="30"/>
      <c r="D421" s="30"/>
      <c r="E421" s="16" t="str">
        <f aca="false">IF(B421="","",IFERROR(INDEX(Produtos!$C$5:$C$44,MATCH(B421,Produtos!$A$5:$A$44,0)),0))</f>
        <v/>
      </c>
      <c r="F421" s="16" t="str">
        <f aca="false">IF(B421="","",C421*E421)</f>
        <v/>
      </c>
      <c r="G421" s="16" t="str">
        <f aca="false">IF(B421="","",C421*IFERROR(INDEX(Produtos!$D$5:$D$44,MATCH(B421,Produtos!$A$5:$A$44,0)),0))</f>
        <v/>
      </c>
      <c r="H421" s="16" t="str">
        <f aca="false">IF(B421="","",F421*IFERROR(INDEX(Despesas!$B$5:$B$8,MATCH(D421,Despesas!$A$5:$A$8,0)),0))</f>
        <v/>
      </c>
      <c r="I421" s="16" t="str">
        <f aca="false">IF(B421="","",F421-G421-H421)</f>
        <v/>
      </c>
    </row>
    <row r="422" customFormat="false" ht="15" hidden="false" customHeight="false" outlineLevel="0" collapsed="false">
      <c r="A422" s="34"/>
      <c r="B422" s="30"/>
      <c r="C422" s="30"/>
      <c r="D422" s="30"/>
      <c r="E422" s="16" t="str">
        <f aca="false">IF(B422="","",IFERROR(INDEX(Produtos!$C$5:$C$44,MATCH(B422,Produtos!$A$5:$A$44,0)),0))</f>
        <v/>
      </c>
      <c r="F422" s="16" t="str">
        <f aca="false">IF(B422="","",C422*E422)</f>
        <v/>
      </c>
      <c r="G422" s="16" t="str">
        <f aca="false">IF(B422="","",C422*IFERROR(INDEX(Produtos!$D$5:$D$44,MATCH(B422,Produtos!$A$5:$A$44,0)),0))</f>
        <v/>
      </c>
      <c r="H422" s="16" t="str">
        <f aca="false">IF(B422="","",F422*IFERROR(INDEX(Despesas!$B$5:$B$8,MATCH(D422,Despesas!$A$5:$A$8,0)),0))</f>
        <v/>
      </c>
      <c r="I422" s="16" t="str">
        <f aca="false">IF(B422="","",F422-G422-H422)</f>
        <v/>
      </c>
    </row>
    <row r="423" customFormat="false" ht="15" hidden="false" customHeight="false" outlineLevel="0" collapsed="false">
      <c r="A423" s="34"/>
      <c r="B423" s="30"/>
      <c r="C423" s="30"/>
      <c r="D423" s="30"/>
      <c r="E423" s="16" t="str">
        <f aca="false">IF(B423="","",IFERROR(INDEX(Produtos!$C$5:$C$44,MATCH(B423,Produtos!$A$5:$A$44,0)),0))</f>
        <v/>
      </c>
      <c r="F423" s="16" t="str">
        <f aca="false">IF(B423="","",C423*E423)</f>
        <v/>
      </c>
      <c r="G423" s="16" t="str">
        <f aca="false">IF(B423="","",C423*IFERROR(INDEX(Produtos!$D$5:$D$44,MATCH(B423,Produtos!$A$5:$A$44,0)),0))</f>
        <v/>
      </c>
      <c r="H423" s="16" t="str">
        <f aca="false">IF(B423="","",F423*IFERROR(INDEX(Despesas!$B$5:$B$8,MATCH(D423,Despesas!$A$5:$A$8,0)),0))</f>
        <v/>
      </c>
      <c r="I423" s="16" t="str">
        <f aca="false">IF(B423="","",F423-G423-H423)</f>
        <v/>
      </c>
    </row>
    <row r="424" customFormat="false" ht="15" hidden="false" customHeight="false" outlineLevel="0" collapsed="false">
      <c r="A424" s="34"/>
      <c r="B424" s="30"/>
      <c r="C424" s="30"/>
      <c r="D424" s="30"/>
      <c r="E424" s="16" t="str">
        <f aca="false">IF(B424="","",IFERROR(INDEX(Produtos!$C$5:$C$44,MATCH(B424,Produtos!$A$5:$A$44,0)),0))</f>
        <v/>
      </c>
      <c r="F424" s="16" t="str">
        <f aca="false">IF(B424="","",C424*E424)</f>
        <v/>
      </c>
      <c r="G424" s="16" t="str">
        <f aca="false">IF(B424="","",C424*IFERROR(INDEX(Produtos!$D$5:$D$44,MATCH(B424,Produtos!$A$5:$A$44,0)),0))</f>
        <v/>
      </c>
      <c r="H424" s="16" t="str">
        <f aca="false">IF(B424="","",F424*IFERROR(INDEX(Despesas!$B$5:$B$8,MATCH(D424,Despesas!$A$5:$A$8,0)),0))</f>
        <v/>
      </c>
      <c r="I424" s="16" t="str">
        <f aca="false">IF(B424="","",F424-G424-H424)</f>
        <v/>
      </c>
    </row>
    <row r="425" customFormat="false" ht="15" hidden="false" customHeight="false" outlineLevel="0" collapsed="false">
      <c r="A425" s="34"/>
      <c r="B425" s="30"/>
      <c r="C425" s="30"/>
      <c r="D425" s="30"/>
      <c r="E425" s="16" t="str">
        <f aca="false">IF(B425="","",IFERROR(INDEX(Produtos!$C$5:$C$44,MATCH(B425,Produtos!$A$5:$A$44,0)),0))</f>
        <v/>
      </c>
      <c r="F425" s="16" t="str">
        <f aca="false">IF(B425="","",C425*E425)</f>
        <v/>
      </c>
      <c r="G425" s="16" t="str">
        <f aca="false">IF(B425="","",C425*IFERROR(INDEX(Produtos!$D$5:$D$44,MATCH(B425,Produtos!$A$5:$A$44,0)),0))</f>
        <v/>
      </c>
      <c r="H425" s="16" t="str">
        <f aca="false">IF(B425="","",F425*IFERROR(INDEX(Despesas!$B$5:$B$8,MATCH(D425,Despesas!$A$5:$A$8,0)),0))</f>
        <v/>
      </c>
      <c r="I425" s="16" t="str">
        <f aca="false">IF(B425="","",F425-G425-H425)</f>
        <v/>
      </c>
    </row>
    <row r="426" customFormat="false" ht="15" hidden="false" customHeight="false" outlineLevel="0" collapsed="false">
      <c r="A426" s="34"/>
      <c r="B426" s="30"/>
      <c r="C426" s="30"/>
      <c r="D426" s="30"/>
      <c r="E426" s="16" t="str">
        <f aca="false">IF(B426="","",IFERROR(INDEX(Produtos!$C$5:$C$44,MATCH(B426,Produtos!$A$5:$A$44,0)),0))</f>
        <v/>
      </c>
      <c r="F426" s="16" t="str">
        <f aca="false">IF(B426="","",C426*E426)</f>
        <v/>
      </c>
      <c r="G426" s="16" t="str">
        <f aca="false">IF(B426="","",C426*IFERROR(INDEX(Produtos!$D$5:$D$44,MATCH(B426,Produtos!$A$5:$A$44,0)),0))</f>
        <v/>
      </c>
      <c r="H426" s="16" t="str">
        <f aca="false">IF(B426="","",F426*IFERROR(INDEX(Despesas!$B$5:$B$8,MATCH(D426,Despesas!$A$5:$A$8,0)),0))</f>
        <v/>
      </c>
      <c r="I426" s="16" t="str">
        <f aca="false">IF(B426="","",F426-G426-H426)</f>
        <v/>
      </c>
    </row>
    <row r="427" customFormat="false" ht="15" hidden="false" customHeight="false" outlineLevel="0" collapsed="false">
      <c r="A427" s="34"/>
      <c r="B427" s="30"/>
      <c r="C427" s="30"/>
      <c r="D427" s="30"/>
      <c r="E427" s="16" t="str">
        <f aca="false">IF(B427="","",IFERROR(INDEX(Produtos!$C$5:$C$44,MATCH(B427,Produtos!$A$5:$A$44,0)),0))</f>
        <v/>
      </c>
      <c r="F427" s="16" t="str">
        <f aca="false">IF(B427="","",C427*E427)</f>
        <v/>
      </c>
      <c r="G427" s="16" t="str">
        <f aca="false">IF(B427="","",C427*IFERROR(INDEX(Produtos!$D$5:$D$44,MATCH(B427,Produtos!$A$5:$A$44,0)),0))</f>
        <v/>
      </c>
      <c r="H427" s="16" t="str">
        <f aca="false">IF(B427="","",F427*IFERROR(INDEX(Despesas!$B$5:$B$8,MATCH(D427,Despesas!$A$5:$A$8,0)),0))</f>
        <v/>
      </c>
      <c r="I427" s="16" t="str">
        <f aca="false">IF(B427="","",F427-G427-H427)</f>
        <v/>
      </c>
    </row>
    <row r="428" customFormat="false" ht="15" hidden="false" customHeight="false" outlineLevel="0" collapsed="false">
      <c r="A428" s="34"/>
      <c r="B428" s="30"/>
      <c r="C428" s="30"/>
      <c r="D428" s="30"/>
      <c r="E428" s="16" t="str">
        <f aca="false">IF(B428="","",IFERROR(INDEX(Produtos!$C$5:$C$44,MATCH(B428,Produtos!$A$5:$A$44,0)),0))</f>
        <v/>
      </c>
      <c r="F428" s="16" t="str">
        <f aca="false">IF(B428="","",C428*E428)</f>
        <v/>
      </c>
      <c r="G428" s="16" t="str">
        <f aca="false">IF(B428="","",C428*IFERROR(INDEX(Produtos!$D$5:$D$44,MATCH(B428,Produtos!$A$5:$A$44,0)),0))</f>
        <v/>
      </c>
      <c r="H428" s="16" t="str">
        <f aca="false">IF(B428="","",F428*IFERROR(INDEX(Despesas!$B$5:$B$8,MATCH(D428,Despesas!$A$5:$A$8,0)),0))</f>
        <v/>
      </c>
      <c r="I428" s="16" t="str">
        <f aca="false">IF(B428="","",F428-G428-H428)</f>
        <v/>
      </c>
    </row>
    <row r="429" customFormat="false" ht="15" hidden="false" customHeight="false" outlineLevel="0" collapsed="false">
      <c r="A429" s="34"/>
      <c r="B429" s="30"/>
      <c r="C429" s="30"/>
      <c r="D429" s="30"/>
      <c r="E429" s="16" t="str">
        <f aca="false">IF(B429="","",IFERROR(INDEX(Produtos!$C$5:$C$44,MATCH(B429,Produtos!$A$5:$A$44,0)),0))</f>
        <v/>
      </c>
      <c r="F429" s="16" t="str">
        <f aca="false">IF(B429="","",C429*E429)</f>
        <v/>
      </c>
      <c r="G429" s="16" t="str">
        <f aca="false">IF(B429="","",C429*IFERROR(INDEX(Produtos!$D$5:$D$44,MATCH(B429,Produtos!$A$5:$A$44,0)),0))</f>
        <v/>
      </c>
      <c r="H429" s="16" t="str">
        <f aca="false">IF(B429="","",F429*IFERROR(INDEX(Despesas!$B$5:$B$8,MATCH(D429,Despesas!$A$5:$A$8,0)),0))</f>
        <v/>
      </c>
      <c r="I429" s="16" t="str">
        <f aca="false">IF(B429="","",F429-G429-H429)</f>
        <v/>
      </c>
    </row>
    <row r="430" customFormat="false" ht="15" hidden="false" customHeight="false" outlineLevel="0" collapsed="false">
      <c r="A430" s="34"/>
      <c r="B430" s="30"/>
      <c r="C430" s="30"/>
      <c r="D430" s="30"/>
      <c r="E430" s="16" t="str">
        <f aca="false">IF(B430="","",IFERROR(INDEX(Produtos!$C$5:$C$44,MATCH(B430,Produtos!$A$5:$A$44,0)),0))</f>
        <v/>
      </c>
      <c r="F430" s="16" t="str">
        <f aca="false">IF(B430="","",C430*E430)</f>
        <v/>
      </c>
      <c r="G430" s="16" t="str">
        <f aca="false">IF(B430="","",C430*IFERROR(INDEX(Produtos!$D$5:$D$44,MATCH(B430,Produtos!$A$5:$A$44,0)),0))</f>
        <v/>
      </c>
      <c r="H430" s="16" t="str">
        <f aca="false">IF(B430="","",F430*IFERROR(INDEX(Despesas!$B$5:$B$8,MATCH(D430,Despesas!$A$5:$A$8,0)),0))</f>
        <v/>
      </c>
      <c r="I430" s="16" t="str">
        <f aca="false">IF(B430="","",F430-G430-H430)</f>
        <v/>
      </c>
    </row>
    <row r="431" customFormat="false" ht="15" hidden="false" customHeight="false" outlineLevel="0" collapsed="false">
      <c r="A431" s="34"/>
      <c r="B431" s="30"/>
      <c r="C431" s="30"/>
      <c r="D431" s="30"/>
      <c r="E431" s="16" t="str">
        <f aca="false">IF(B431="","",IFERROR(INDEX(Produtos!$C$5:$C$44,MATCH(B431,Produtos!$A$5:$A$44,0)),0))</f>
        <v/>
      </c>
      <c r="F431" s="16" t="str">
        <f aca="false">IF(B431="","",C431*E431)</f>
        <v/>
      </c>
      <c r="G431" s="16" t="str">
        <f aca="false">IF(B431="","",C431*IFERROR(INDEX(Produtos!$D$5:$D$44,MATCH(B431,Produtos!$A$5:$A$44,0)),0))</f>
        <v/>
      </c>
      <c r="H431" s="16" t="str">
        <f aca="false">IF(B431="","",F431*IFERROR(INDEX(Despesas!$B$5:$B$8,MATCH(D431,Despesas!$A$5:$A$8,0)),0))</f>
        <v/>
      </c>
      <c r="I431" s="16" t="str">
        <f aca="false">IF(B431="","",F431-G431-H431)</f>
        <v/>
      </c>
    </row>
    <row r="432" customFormat="false" ht="15" hidden="false" customHeight="false" outlineLevel="0" collapsed="false">
      <c r="A432" s="34"/>
      <c r="B432" s="30"/>
      <c r="C432" s="30"/>
      <c r="D432" s="30"/>
      <c r="E432" s="16" t="str">
        <f aca="false">IF(B432="","",IFERROR(INDEX(Produtos!$C$5:$C$44,MATCH(B432,Produtos!$A$5:$A$44,0)),0))</f>
        <v/>
      </c>
      <c r="F432" s="16" t="str">
        <f aca="false">IF(B432="","",C432*E432)</f>
        <v/>
      </c>
      <c r="G432" s="16" t="str">
        <f aca="false">IF(B432="","",C432*IFERROR(INDEX(Produtos!$D$5:$D$44,MATCH(B432,Produtos!$A$5:$A$44,0)),0))</f>
        <v/>
      </c>
      <c r="H432" s="16" t="str">
        <f aca="false">IF(B432="","",F432*IFERROR(INDEX(Despesas!$B$5:$B$8,MATCH(D432,Despesas!$A$5:$A$8,0)),0))</f>
        <v/>
      </c>
      <c r="I432" s="16" t="str">
        <f aca="false">IF(B432="","",F432-G432-H432)</f>
        <v/>
      </c>
    </row>
    <row r="433" customFormat="false" ht="15" hidden="false" customHeight="false" outlineLevel="0" collapsed="false">
      <c r="A433" s="34"/>
      <c r="B433" s="30"/>
      <c r="C433" s="30"/>
      <c r="D433" s="30"/>
      <c r="E433" s="16" t="str">
        <f aca="false">IF(B433="","",IFERROR(INDEX(Produtos!$C$5:$C$44,MATCH(B433,Produtos!$A$5:$A$44,0)),0))</f>
        <v/>
      </c>
      <c r="F433" s="16" t="str">
        <f aca="false">IF(B433="","",C433*E433)</f>
        <v/>
      </c>
      <c r="G433" s="16" t="str">
        <f aca="false">IF(B433="","",C433*IFERROR(INDEX(Produtos!$D$5:$D$44,MATCH(B433,Produtos!$A$5:$A$44,0)),0))</f>
        <v/>
      </c>
      <c r="H433" s="16" t="str">
        <f aca="false">IF(B433="","",F433*IFERROR(INDEX(Despesas!$B$5:$B$8,MATCH(D433,Despesas!$A$5:$A$8,0)),0))</f>
        <v/>
      </c>
      <c r="I433" s="16" t="str">
        <f aca="false">IF(B433="","",F433-G433-H433)</f>
        <v/>
      </c>
    </row>
    <row r="434" customFormat="false" ht="15" hidden="false" customHeight="false" outlineLevel="0" collapsed="false">
      <c r="A434" s="34"/>
      <c r="B434" s="30"/>
      <c r="C434" s="30"/>
      <c r="D434" s="30"/>
      <c r="E434" s="16" t="str">
        <f aca="false">IF(B434="","",IFERROR(INDEX(Produtos!$C$5:$C$44,MATCH(B434,Produtos!$A$5:$A$44,0)),0))</f>
        <v/>
      </c>
      <c r="F434" s="16" t="str">
        <f aca="false">IF(B434="","",C434*E434)</f>
        <v/>
      </c>
      <c r="G434" s="16" t="str">
        <f aca="false">IF(B434="","",C434*IFERROR(INDEX(Produtos!$D$5:$D$44,MATCH(B434,Produtos!$A$5:$A$44,0)),0))</f>
        <v/>
      </c>
      <c r="H434" s="16" t="str">
        <f aca="false">IF(B434="","",F434*IFERROR(INDEX(Despesas!$B$5:$B$8,MATCH(D434,Despesas!$A$5:$A$8,0)),0))</f>
        <v/>
      </c>
      <c r="I434" s="16" t="str">
        <f aca="false">IF(B434="","",F434-G434-H434)</f>
        <v/>
      </c>
    </row>
    <row r="435" customFormat="false" ht="15" hidden="false" customHeight="false" outlineLevel="0" collapsed="false">
      <c r="A435" s="34"/>
      <c r="B435" s="30"/>
      <c r="C435" s="30"/>
      <c r="D435" s="30"/>
      <c r="E435" s="16" t="str">
        <f aca="false">IF(B435="","",IFERROR(INDEX(Produtos!$C$5:$C$44,MATCH(B435,Produtos!$A$5:$A$44,0)),0))</f>
        <v/>
      </c>
      <c r="F435" s="16" t="str">
        <f aca="false">IF(B435="","",C435*E435)</f>
        <v/>
      </c>
      <c r="G435" s="16" t="str">
        <f aca="false">IF(B435="","",C435*IFERROR(INDEX(Produtos!$D$5:$D$44,MATCH(B435,Produtos!$A$5:$A$44,0)),0))</f>
        <v/>
      </c>
      <c r="H435" s="16" t="str">
        <f aca="false">IF(B435="","",F435*IFERROR(INDEX(Despesas!$B$5:$B$8,MATCH(D435,Despesas!$A$5:$A$8,0)),0))</f>
        <v/>
      </c>
      <c r="I435" s="16" t="str">
        <f aca="false">IF(B435="","",F435-G435-H435)</f>
        <v/>
      </c>
    </row>
    <row r="436" customFormat="false" ht="15" hidden="false" customHeight="false" outlineLevel="0" collapsed="false">
      <c r="A436" s="34"/>
      <c r="B436" s="30"/>
      <c r="C436" s="30"/>
      <c r="D436" s="30"/>
      <c r="E436" s="16" t="str">
        <f aca="false">IF(B436="","",IFERROR(INDEX(Produtos!$C$5:$C$44,MATCH(B436,Produtos!$A$5:$A$44,0)),0))</f>
        <v/>
      </c>
      <c r="F436" s="16" t="str">
        <f aca="false">IF(B436="","",C436*E436)</f>
        <v/>
      </c>
      <c r="G436" s="16" t="str">
        <f aca="false">IF(B436="","",C436*IFERROR(INDEX(Produtos!$D$5:$D$44,MATCH(B436,Produtos!$A$5:$A$44,0)),0))</f>
        <v/>
      </c>
      <c r="H436" s="16" t="str">
        <f aca="false">IF(B436="","",F436*IFERROR(INDEX(Despesas!$B$5:$B$8,MATCH(D436,Despesas!$A$5:$A$8,0)),0))</f>
        <v/>
      </c>
      <c r="I436" s="16" t="str">
        <f aca="false">IF(B436="","",F436-G436-H436)</f>
        <v/>
      </c>
    </row>
    <row r="437" customFormat="false" ht="15" hidden="false" customHeight="false" outlineLevel="0" collapsed="false">
      <c r="A437" s="34"/>
      <c r="B437" s="30"/>
      <c r="C437" s="30"/>
      <c r="D437" s="30"/>
      <c r="E437" s="16" t="str">
        <f aca="false">IF(B437="","",IFERROR(INDEX(Produtos!$C$5:$C$44,MATCH(B437,Produtos!$A$5:$A$44,0)),0))</f>
        <v/>
      </c>
      <c r="F437" s="16" t="str">
        <f aca="false">IF(B437="","",C437*E437)</f>
        <v/>
      </c>
      <c r="G437" s="16" t="str">
        <f aca="false">IF(B437="","",C437*IFERROR(INDEX(Produtos!$D$5:$D$44,MATCH(B437,Produtos!$A$5:$A$44,0)),0))</f>
        <v/>
      </c>
      <c r="H437" s="16" t="str">
        <f aca="false">IF(B437="","",F437*IFERROR(INDEX(Despesas!$B$5:$B$8,MATCH(D437,Despesas!$A$5:$A$8,0)),0))</f>
        <v/>
      </c>
      <c r="I437" s="16" t="str">
        <f aca="false">IF(B437="","",F437-G437-H437)</f>
        <v/>
      </c>
    </row>
    <row r="438" customFormat="false" ht="15" hidden="false" customHeight="false" outlineLevel="0" collapsed="false">
      <c r="A438" s="34"/>
      <c r="B438" s="30"/>
      <c r="C438" s="30"/>
      <c r="D438" s="30"/>
      <c r="E438" s="16" t="str">
        <f aca="false">IF(B438="","",IFERROR(INDEX(Produtos!$C$5:$C$44,MATCH(B438,Produtos!$A$5:$A$44,0)),0))</f>
        <v/>
      </c>
      <c r="F438" s="16" t="str">
        <f aca="false">IF(B438="","",C438*E438)</f>
        <v/>
      </c>
      <c r="G438" s="16" t="str">
        <f aca="false">IF(B438="","",C438*IFERROR(INDEX(Produtos!$D$5:$D$44,MATCH(B438,Produtos!$A$5:$A$44,0)),0))</f>
        <v/>
      </c>
      <c r="H438" s="16" t="str">
        <f aca="false">IF(B438="","",F438*IFERROR(INDEX(Despesas!$B$5:$B$8,MATCH(D438,Despesas!$A$5:$A$8,0)),0))</f>
        <v/>
      </c>
      <c r="I438" s="16" t="str">
        <f aca="false">IF(B438="","",F438-G438-H438)</f>
        <v/>
      </c>
    </row>
    <row r="439" customFormat="false" ht="15" hidden="false" customHeight="false" outlineLevel="0" collapsed="false">
      <c r="A439" s="34"/>
      <c r="B439" s="30"/>
      <c r="C439" s="30"/>
      <c r="D439" s="30"/>
      <c r="E439" s="16" t="str">
        <f aca="false">IF(B439="","",IFERROR(INDEX(Produtos!$C$5:$C$44,MATCH(B439,Produtos!$A$5:$A$44,0)),0))</f>
        <v/>
      </c>
      <c r="F439" s="16" t="str">
        <f aca="false">IF(B439="","",C439*E439)</f>
        <v/>
      </c>
      <c r="G439" s="16" t="str">
        <f aca="false">IF(B439="","",C439*IFERROR(INDEX(Produtos!$D$5:$D$44,MATCH(B439,Produtos!$A$5:$A$44,0)),0))</f>
        <v/>
      </c>
      <c r="H439" s="16" t="str">
        <f aca="false">IF(B439="","",F439*IFERROR(INDEX(Despesas!$B$5:$B$8,MATCH(D439,Despesas!$A$5:$A$8,0)),0))</f>
        <v/>
      </c>
      <c r="I439" s="16" t="str">
        <f aca="false">IF(B439="","",F439-G439-H439)</f>
        <v/>
      </c>
    </row>
    <row r="440" customFormat="false" ht="15" hidden="false" customHeight="false" outlineLevel="0" collapsed="false">
      <c r="A440" s="34"/>
      <c r="B440" s="30"/>
      <c r="C440" s="30"/>
      <c r="D440" s="30"/>
      <c r="E440" s="16" t="str">
        <f aca="false">IF(B440="","",IFERROR(INDEX(Produtos!$C$5:$C$44,MATCH(B440,Produtos!$A$5:$A$44,0)),0))</f>
        <v/>
      </c>
      <c r="F440" s="16" t="str">
        <f aca="false">IF(B440="","",C440*E440)</f>
        <v/>
      </c>
      <c r="G440" s="16" t="str">
        <f aca="false">IF(B440="","",C440*IFERROR(INDEX(Produtos!$D$5:$D$44,MATCH(B440,Produtos!$A$5:$A$44,0)),0))</f>
        <v/>
      </c>
      <c r="H440" s="16" t="str">
        <f aca="false">IF(B440="","",F440*IFERROR(INDEX(Despesas!$B$5:$B$8,MATCH(D440,Despesas!$A$5:$A$8,0)),0))</f>
        <v/>
      </c>
      <c r="I440" s="16" t="str">
        <f aca="false">IF(B440="","",F440-G440-H440)</f>
        <v/>
      </c>
    </row>
    <row r="441" customFormat="false" ht="15" hidden="false" customHeight="false" outlineLevel="0" collapsed="false">
      <c r="A441" s="34"/>
      <c r="B441" s="30"/>
      <c r="C441" s="30"/>
      <c r="D441" s="30"/>
      <c r="E441" s="16" t="str">
        <f aca="false">IF(B441="","",IFERROR(INDEX(Produtos!$C$5:$C$44,MATCH(B441,Produtos!$A$5:$A$44,0)),0))</f>
        <v/>
      </c>
      <c r="F441" s="16" t="str">
        <f aca="false">IF(B441="","",C441*E441)</f>
        <v/>
      </c>
      <c r="G441" s="16" t="str">
        <f aca="false">IF(B441="","",C441*IFERROR(INDEX(Produtos!$D$5:$D$44,MATCH(B441,Produtos!$A$5:$A$44,0)),0))</f>
        <v/>
      </c>
      <c r="H441" s="16" t="str">
        <f aca="false">IF(B441="","",F441*IFERROR(INDEX(Despesas!$B$5:$B$8,MATCH(D441,Despesas!$A$5:$A$8,0)),0))</f>
        <v/>
      </c>
      <c r="I441" s="16" t="str">
        <f aca="false">IF(B441="","",F441-G441-H441)</f>
        <v/>
      </c>
    </row>
    <row r="442" customFormat="false" ht="15" hidden="false" customHeight="false" outlineLevel="0" collapsed="false">
      <c r="A442" s="34"/>
      <c r="B442" s="30"/>
      <c r="C442" s="30"/>
      <c r="D442" s="30"/>
      <c r="E442" s="16" t="str">
        <f aca="false">IF(B442="","",IFERROR(INDEX(Produtos!$C$5:$C$44,MATCH(B442,Produtos!$A$5:$A$44,0)),0))</f>
        <v/>
      </c>
      <c r="F442" s="16" t="str">
        <f aca="false">IF(B442="","",C442*E442)</f>
        <v/>
      </c>
      <c r="G442" s="16" t="str">
        <f aca="false">IF(B442="","",C442*IFERROR(INDEX(Produtos!$D$5:$D$44,MATCH(B442,Produtos!$A$5:$A$44,0)),0))</f>
        <v/>
      </c>
      <c r="H442" s="16" t="str">
        <f aca="false">IF(B442="","",F442*IFERROR(INDEX(Despesas!$B$5:$B$8,MATCH(D442,Despesas!$A$5:$A$8,0)),0))</f>
        <v/>
      </c>
      <c r="I442" s="16" t="str">
        <f aca="false">IF(B442="","",F442-G442-H442)</f>
        <v/>
      </c>
    </row>
    <row r="443" customFormat="false" ht="15" hidden="false" customHeight="false" outlineLevel="0" collapsed="false">
      <c r="A443" s="34"/>
      <c r="B443" s="30"/>
      <c r="C443" s="30"/>
      <c r="D443" s="30"/>
      <c r="E443" s="16" t="str">
        <f aca="false">IF(B443="","",IFERROR(INDEX(Produtos!$C$5:$C$44,MATCH(B443,Produtos!$A$5:$A$44,0)),0))</f>
        <v/>
      </c>
      <c r="F443" s="16" t="str">
        <f aca="false">IF(B443="","",C443*E443)</f>
        <v/>
      </c>
      <c r="G443" s="16" t="str">
        <f aca="false">IF(B443="","",C443*IFERROR(INDEX(Produtos!$D$5:$D$44,MATCH(B443,Produtos!$A$5:$A$44,0)),0))</f>
        <v/>
      </c>
      <c r="H443" s="16" t="str">
        <f aca="false">IF(B443="","",F443*IFERROR(INDEX(Despesas!$B$5:$B$8,MATCH(D443,Despesas!$A$5:$A$8,0)),0))</f>
        <v/>
      </c>
      <c r="I443" s="16" t="str">
        <f aca="false">IF(B443="","",F443-G443-H443)</f>
        <v/>
      </c>
    </row>
    <row r="444" customFormat="false" ht="15" hidden="false" customHeight="false" outlineLevel="0" collapsed="false">
      <c r="A444" s="34"/>
      <c r="B444" s="30"/>
      <c r="C444" s="30"/>
      <c r="D444" s="30"/>
      <c r="E444" s="16" t="str">
        <f aca="false">IF(B444="","",IFERROR(INDEX(Produtos!$C$5:$C$44,MATCH(B444,Produtos!$A$5:$A$44,0)),0))</f>
        <v/>
      </c>
      <c r="F444" s="16" t="str">
        <f aca="false">IF(B444="","",C444*E444)</f>
        <v/>
      </c>
      <c r="G444" s="16" t="str">
        <f aca="false">IF(B444="","",C444*IFERROR(INDEX(Produtos!$D$5:$D$44,MATCH(B444,Produtos!$A$5:$A$44,0)),0))</f>
        <v/>
      </c>
      <c r="H444" s="16" t="str">
        <f aca="false">IF(B444="","",F444*IFERROR(INDEX(Despesas!$B$5:$B$8,MATCH(D444,Despesas!$A$5:$A$8,0)),0))</f>
        <v/>
      </c>
      <c r="I444" s="16" t="str">
        <f aca="false">IF(B444="","",F444-G444-H444)</f>
        <v/>
      </c>
    </row>
    <row r="445" customFormat="false" ht="15" hidden="false" customHeight="false" outlineLevel="0" collapsed="false">
      <c r="A445" s="34"/>
      <c r="B445" s="30"/>
      <c r="C445" s="30"/>
      <c r="D445" s="30"/>
      <c r="E445" s="16" t="str">
        <f aca="false">IF(B445="","",IFERROR(INDEX(Produtos!$C$5:$C$44,MATCH(B445,Produtos!$A$5:$A$44,0)),0))</f>
        <v/>
      </c>
      <c r="F445" s="16" t="str">
        <f aca="false">IF(B445="","",C445*E445)</f>
        <v/>
      </c>
      <c r="G445" s="16" t="str">
        <f aca="false">IF(B445="","",C445*IFERROR(INDEX(Produtos!$D$5:$D$44,MATCH(B445,Produtos!$A$5:$A$44,0)),0))</f>
        <v/>
      </c>
      <c r="H445" s="16" t="str">
        <f aca="false">IF(B445="","",F445*IFERROR(INDEX(Despesas!$B$5:$B$8,MATCH(D445,Despesas!$A$5:$A$8,0)),0))</f>
        <v/>
      </c>
      <c r="I445" s="16" t="str">
        <f aca="false">IF(B445="","",F445-G445-H445)</f>
        <v/>
      </c>
    </row>
    <row r="446" customFormat="false" ht="15" hidden="false" customHeight="false" outlineLevel="0" collapsed="false">
      <c r="A446" s="34"/>
      <c r="B446" s="30"/>
      <c r="C446" s="30"/>
      <c r="D446" s="30"/>
      <c r="E446" s="16" t="str">
        <f aca="false">IF(B446="","",IFERROR(INDEX(Produtos!$C$5:$C$44,MATCH(B446,Produtos!$A$5:$A$44,0)),0))</f>
        <v/>
      </c>
      <c r="F446" s="16" t="str">
        <f aca="false">IF(B446="","",C446*E446)</f>
        <v/>
      </c>
      <c r="G446" s="16" t="str">
        <f aca="false">IF(B446="","",C446*IFERROR(INDEX(Produtos!$D$5:$D$44,MATCH(B446,Produtos!$A$5:$A$44,0)),0))</f>
        <v/>
      </c>
      <c r="H446" s="16" t="str">
        <f aca="false">IF(B446="","",F446*IFERROR(INDEX(Despesas!$B$5:$B$8,MATCH(D446,Despesas!$A$5:$A$8,0)),0))</f>
        <v/>
      </c>
      <c r="I446" s="16" t="str">
        <f aca="false">IF(B446="","",F446-G446-H446)</f>
        <v/>
      </c>
    </row>
    <row r="447" customFormat="false" ht="15" hidden="false" customHeight="false" outlineLevel="0" collapsed="false">
      <c r="A447" s="34"/>
      <c r="B447" s="30"/>
      <c r="C447" s="30"/>
      <c r="D447" s="30"/>
      <c r="E447" s="16" t="str">
        <f aca="false">IF(B447="","",IFERROR(INDEX(Produtos!$C$5:$C$44,MATCH(B447,Produtos!$A$5:$A$44,0)),0))</f>
        <v/>
      </c>
      <c r="F447" s="16" t="str">
        <f aca="false">IF(B447="","",C447*E447)</f>
        <v/>
      </c>
      <c r="G447" s="16" t="str">
        <f aca="false">IF(B447="","",C447*IFERROR(INDEX(Produtos!$D$5:$D$44,MATCH(B447,Produtos!$A$5:$A$44,0)),0))</f>
        <v/>
      </c>
      <c r="H447" s="16" t="str">
        <f aca="false">IF(B447="","",F447*IFERROR(INDEX(Despesas!$B$5:$B$8,MATCH(D447,Despesas!$A$5:$A$8,0)),0))</f>
        <v/>
      </c>
      <c r="I447" s="16" t="str">
        <f aca="false">IF(B447="","",F447-G447-H447)</f>
        <v/>
      </c>
    </row>
    <row r="448" customFormat="false" ht="15" hidden="false" customHeight="false" outlineLevel="0" collapsed="false">
      <c r="A448" s="34"/>
      <c r="B448" s="30"/>
      <c r="C448" s="30"/>
      <c r="D448" s="30"/>
      <c r="E448" s="16" t="str">
        <f aca="false">IF(B448="","",IFERROR(INDEX(Produtos!$C$5:$C$44,MATCH(B448,Produtos!$A$5:$A$44,0)),0))</f>
        <v/>
      </c>
      <c r="F448" s="16" t="str">
        <f aca="false">IF(B448="","",C448*E448)</f>
        <v/>
      </c>
      <c r="G448" s="16" t="str">
        <f aca="false">IF(B448="","",C448*IFERROR(INDEX(Produtos!$D$5:$D$44,MATCH(B448,Produtos!$A$5:$A$44,0)),0))</f>
        <v/>
      </c>
      <c r="H448" s="16" t="str">
        <f aca="false">IF(B448="","",F448*IFERROR(INDEX(Despesas!$B$5:$B$8,MATCH(D448,Despesas!$A$5:$A$8,0)),0))</f>
        <v/>
      </c>
      <c r="I448" s="16" t="str">
        <f aca="false">IF(B448="","",F448-G448-H448)</f>
        <v/>
      </c>
    </row>
    <row r="449" customFormat="false" ht="15" hidden="false" customHeight="false" outlineLevel="0" collapsed="false">
      <c r="A449" s="34"/>
      <c r="B449" s="30"/>
      <c r="C449" s="30"/>
      <c r="D449" s="30"/>
      <c r="E449" s="16" t="str">
        <f aca="false">IF(B449="","",IFERROR(INDEX(Produtos!$C$5:$C$44,MATCH(B449,Produtos!$A$5:$A$44,0)),0))</f>
        <v/>
      </c>
      <c r="F449" s="16" t="str">
        <f aca="false">IF(B449="","",C449*E449)</f>
        <v/>
      </c>
      <c r="G449" s="16" t="str">
        <f aca="false">IF(B449="","",C449*IFERROR(INDEX(Produtos!$D$5:$D$44,MATCH(B449,Produtos!$A$5:$A$44,0)),0))</f>
        <v/>
      </c>
      <c r="H449" s="16" t="str">
        <f aca="false">IF(B449="","",F449*IFERROR(INDEX(Despesas!$B$5:$B$8,MATCH(D449,Despesas!$A$5:$A$8,0)),0))</f>
        <v/>
      </c>
      <c r="I449" s="16" t="str">
        <f aca="false">IF(B449="","",F449-G449-H449)</f>
        <v/>
      </c>
    </row>
    <row r="450" customFormat="false" ht="15" hidden="false" customHeight="false" outlineLevel="0" collapsed="false">
      <c r="A450" s="34"/>
      <c r="B450" s="30"/>
      <c r="C450" s="30"/>
      <c r="D450" s="30"/>
      <c r="E450" s="16" t="str">
        <f aca="false">IF(B450="","",IFERROR(INDEX(Produtos!$C$5:$C$44,MATCH(B450,Produtos!$A$5:$A$44,0)),0))</f>
        <v/>
      </c>
      <c r="F450" s="16" t="str">
        <f aca="false">IF(B450="","",C450*E450)</f>
        <v/>
      </c>
      <c r="G450" s="16" t="str">
        <f aca="false">IF(B450="","",C450*IFERROR(INDEX(Produtos!$D$5:$D$44,MATCH(B450,Produtos!$A$5:$A$44,0)),0))</f>
        <v/>
      </c>
      <c r="H450" s="16" t="str">
        <f aca="false">IF(B450="","",F450*IFERROR(INDEX(Despesas!$B$5:$B$8,MATCH(D450,Despesas!$A$5:$A$8,0)),0))</f>
        <v/>
      </c>
      <c r="I450" s="16" t="str">
        <f aca="false">IF(B450="","",F450-G450-H450)</f>
        <v/>
      </c>
    </row>
    <row r="451" customFormat="false" ht="15" hidden="false" customHeight="false" outlineLevel="0" collapsed="false">
      <c r="A451" s="34"/>
      <c r="B451" s="30"/>
      <c r="C451" s="30"/>
      <c r="D451" s="30"/>
      <c r="E451" s="16" t="str">
        <f aca="false">IF(B451="","",IFERROR(INDEX(Produtos!$C$5:$C$44,MATCH(B451,Produtos!$A$5:$A$44,0)),0))</f>
        <v/>
      </c>
      <c r="F451" s="16" t="str">
        <f aca="false">IF(B451="","",C451*E451)</f>
        <v/>
      </c>
      <c r="G451" s="16" t="str">
        <f aca="false">IF(B451="","",C451*IFERROR(INDEX(Produtos!$D$5:$D$44,MATCH(B451,Produtos!$A$5:$A$44,0)),0))</f>
        <v/>
      </c>
      <c r="H451" s="16" t="str">
        <f aca="false">IF(B451="","",F451*IFERROR(INDEX(Despesas!$B$5:$B$8,MATCH(D451,Despesas!$A$5:$A$8,0)),0))</f>
        <v/>
      </c>
      <c r="I451" s="16" t="str">
        <f aca="false">IF(B451="","",F451-G451-H451)</f>
        <v/>
      </c>
    </row>
    <row r="452" customFormat="false" ht="15" hidden="false" customHeight="false" outlineLevel="0" collapsed="false">
      <c r="A452" s="34"/>
      <c r="B452" s="30"/>
      <c r="C452" s="30"/>
      <c r="D452" s="30"/>
      <c r="E452" s="16" t="str">
        <f aca="false">IF(B452="","",IFERROR(INDEX(Produtos!$C$5:$C$44,MATCH(B452,Produtos!$A$5:$A$44,0)),0))</f>
        <v/>
      </c>
      <c r="F452" s="16" t="str">
        <f aca="false">IF(B452="","",C452*E452)</f>
        <v/>
      </c>
      <c r="G452" s="16" t="str">
        <f aca="false">IF(B452="","",C452*IFERROR(INDEX(Produtos!$D$5:$D$44,MATCH(B452,Produtos!$A$5:$A$44,0)),0))</f>
        <v/>
      </c>
      <c r="H452" s="16" t="str">
        <f aca="false">IF(B452="","",F452*IFERROR(INDEX(Despesas!$B$5:$B$8,MATCH(D452,Despesas!$A$5:$A$8,0)),0))</f>
        <v/>
      </c>
      <c r="I452" s="16" t="str">
        <f aca="false">IF(B452="","",F452-G452-H452)</f>
        <v/>
      </c>
    </row>
    <row r="453" customFormat="false" ht="15" hidden="false" customHeight="false" outlineLevel="0" collapsed="false">
      <c r="A453" s="34"/>
      <c r="B453" s="30"/>
      <c r="C453" s="30"/>
      <c r="D453" s="30"/>
      <c r="E453" s="16" t="str">
        <f aca="false">IF(B453="","",IFERROR(INDEX(Produtos!$C$5:$C$44,MATCH(B453,Produtos!$A$5:$A$44,0)),0))</f>
        <v/>
      </c>
      <c r="F453" s="16" t="str">
        <f aca="false">IF(B453="","",C453*E453)</f>
        <v/>
      </c>
      <c r="G453" s="16" t="str">
        <f aca="false">IF(B453="","",C453*IFERROR(INDEX(Produtos!$D$5:$D$44,MATCH(B453,Produtos!$A$5:$A$44,0)),0))</f>
        <v/>
      </c>
      <c r="H453" s="16" t="str">
        <f aca="false">IF(B453="","",F453*IFERROR(INDEX(Despesas!$B$5:$B$8,MATCH(D453,Despesas!$A$5:$A$8,0)),0))</f>
        <v/>
      </c>
      <c r="I453" s="16" t="str">
        <f aca="false">IF(B453="","",F453-G453-H453)</f>
        <v/>
      </c>
    </row>
    <row r="454" customFormat="false" ht="15" hidden="false" customHeight="false" outlineLevel="0" collapsed="false">
      <c r="A454" s="34"/>
      <c r="B454" s="30"/>
      <c r="C454" s="30"/>
      <c r="D454" s="30"/>
      <c r="E454" s="16" t="str">
        <f aca="false">IF(B454="","",IFERROR(INDEX(Produtos!$C$5:$C$44,MATCH(B454,Produtos!$A$5:$A$44,0)),0))</f>
        <v/>
      </c>
      <c r="F454" s="16" t="str">
        <f aca="false">IF(B454="","",C454*E454)</f>
        <v/>
      </c>
      <c r="G454" s="16" t="str">
        <f aca="false">IF(B454="","",C454*IFERROR(INDEX(Produtos!$D$5:$D$44,MATCH(B454,Produtos!$A$5:$A$44,0)),0))</f>
        <v/>
      </c>
      <c r="H454" s="16" t="str">
        <f aca="false">IF(B454="","",F454*IFERROR(INDEX(Despesas!$B$5:$B$8,MATCH(D454,Despesas!$A$5:$A$8,0)),0))</f>
        <v/>
      </c>
      <c r="I454" s="16" t="str">
        <f aca="false">IF(B454="","",F454-G454-H454)</f>
        <v/>
      </c>
    </row>
    <row r="455" customFormat="false" ht="15" hidden="false" customHeight="false" outlineLevel="0" collapsed="false">
      <c r="A455" s="34"/>
      <c r="B455" s="30"/>
      <c r="C455" s="30"/>
      <c r="D455" s="30"/>
      <c r="E455" s="16" t="str">
        <f aca="false">IF(B455="","",IFERROR(INDEX(Produtos!$C$5:$C$44,MATCH(B455,Produtos!$A$5:$A$44,0)),0))</f>
        <v/>
      </c>
      <c r="F455" s="16" t="str">
        <f aca="false">IF(B455="","",C455*E455)</f>
        <v/>
      </c>
      <c r="G455" s="16" t="str">
        <f aca="false">IF(B455="","",C455*IFERROR(INDEX(Produtos!$D$5:$D$44,MATCH(B455,Produtos!$A$5:$A$44,0)),0))</f>
        <v/>
      </c>
      <c r="H455" s="16" t="str">
        <f aca="false">IF(B455="","",F455*IFERROR(INDEX(Despesas!$B$5:$B$8,MATCH(D455,Despesas!$A$5:$A$8,0)),0))</f>
        <v/>
      </c>
      <c r="I455" s="16" t="str">
        <f aca="false">IF(B455="","",F455-G455-H455)</f>
        <v/>
      </c>
    </row>
    <row r="456" customFormat="false" ht="15" hidden="false" customHeight="false" outlineLevel="0" collapsed="false">
      <c r="A456" s="34"/>
      <c r="B456" s="30"/>
      <c r="C456" s="30"/>
      <c r="D456" s="30"/>
      <c r="E456" s="16" t="str">
        <f aca="false">IF(B456="","",IFERROR(INDEX(Produtos!$C$5:$C$44,MATCH(B456,Produtos!$A$5:$A$44,0)),0))</f>
        <v/>
      </c>
      <c r="F456" s="16" t="str">
        <f aca="false">IF(B456="","",C456*E456)</f>
        <v/>
      </c>
      <c r="G456" s="16" t="str">
        <f aca="false">IF(B456="","",C456*IFERROR(INDEX(Produtos!$D$5:$D$44,MATCH(B456,Produtos!$A$5:$A$44,0)),0))</f>
        <v/>
      </c>
      <c r="H456" s="16" t="str">
        <f aca="false">IF(B456="","",F456*IFERROR(INDEX(Despesas!$B$5:$B$8,MATCH(D456,Despesas!$A$5:$A$8,0)),0))</f>
        <v/>
      </c>
      <c r="I456" s="16" t="str">
        <f aca="false">IF(B456="","",F456-G456-H456)</f>
        <v/>
      </c>
    </row>
    <row r="457" customFormat="false" ht="15" hidden="false" customHeight="false" outlineLevel="0" collapsed="false">
      <c r="A457" s="34"/>
      <c r="B457" s="30"/>
      <c r="C457" s="30"/>
      <c r="D457" s="30"/>
      <c r="E457" s="16" t="str">
        <f aca="false">IF(B457="","",IFERROR(INDEX(Produtos!$C$5:$C$44,MATCH(B457,Produtos!$A$5:$A$44,0)),0))</f>
        <v/>
      </c>
      <c r="F457" s="16" t="str">
        <f aca="false">IF(B457="","",C457*E457)</f>
        <v/>
      </c>
      <c r="G457" s="16" t="str">
        <f aca="false">IF(B457="","",C457*IFERROR(INDEX(Produtos!$D$5:$D$44,MATCH(B457,Produtos!$A$5:$A$44,0)),0))</f>
        <v/>
      </c>
      <c r="H457" s="16" t="str">
        <f aca="false">IF(B457="","",F457*IFERROR(INDEX(Despesas!$B$5:$B$8,MATCH(D457,Despesas!$A$5:$A$8,0)),0))</f>
        <v/>
      </c>
      <c r="I457" s="16" t="str">
        <f aca="false">IF(B457="","",F457-G457-H457)</f>
        <v/>
      </c>
    </row>
    <row r="458" customFormat="false" ht="15" hidden="false" customHeight="false" outlineLevel="0" collapsed="false">
      <c r="A458" s="34"/>
      <c r="B458" s="30"/>
      <c r="C458" s="30"/>
      <c r="D458" s="30"/>
      <c r="E458" s="16" t="str">
        <f aca="false">IF(B458="","",IFERROR(INDEX(Produtos!$C$5:$C$44,MATCH(B458,Produtos!$A$5:$A$44,0)),0))</f>
        <v/>
      </c>
      <c r="F458" s="16" t="str">
        <f aca="false">IF(B458="","",C458*E458)</f>
        <v/>
      </c>
      <c r="G458" s="16" t="str">
        <f aca="false">IF(B458="","",C458*IFERROR(INDEX(Produtos!$D$5:$D$44,MATCH(B458,Produtos!$A$5:$A$44,0)),0))</f>
        <v/>
      </c>
      <c r="H458" s="16" t="str">
        <f aca="false">IF(B458="","",F458*IFERROR(INDEX(Despesas!$B$5:$B$8,MATCH(D458,Despesas!$A$5:$A$8,0)),0))</f>
        <v/>
      </c>
      <c r="I458" s="16" t="str">
        <f aca="false">IF(B458="","",F458-G458-H458)</f>
        <v/>
      </c>
    </row>
    <row r="459" customFormat="false" ht="15" hidden="false" customHeight="false" outlineLevel="0" collapsed="false">
      <c r="A459" s="34"/>
      <c r="B459" s="30"/>
      <c r="C459" s="30"/>
      <c r="D459" s="30"/>
      <c r="E459" s="16" t="str">
        <f aca="false">IF(B459="","",IFERROR(INDEX(Produtos!$C$5:$C$44,MATCH(B459,Produtos!$A$5:$A$44,0)),0))</f>
        <v/>
      </c>
      <c r="F459" s="16" t="str">
        <f aca="false">IF(B459="","",C459*E459)</f>
        <v/>
      </c>
      <c r="G459" s="16" t="str">
        <f aca="false">IF(B459="","",C459*IFERROR(INDEX(Produtos!$D$5:$D$44,MATCH(B459,Produtos!$A$5:$A$44,0)),0))</f>
        <v/>
      </c>
      <c r="H459" s="16" t="str">
        <f aca="false">IF(B459="","",F459*IFERROR(INDEX(Despesas!$B$5:$B$8,MATCH(D459,Despesas!$A$5:$A$8,0)),0))</f>
        <v/>
      </c>
      <c r="I459" s="16" t="str">
        <f aca="false">IF(B459="","",F459-G459-H459)</f>
        <v/>
      </c>
    </row>
    <row r="460" customFormat="false" ht="15" hidden="false" customHeight="false" outlineLevel="0" collapsed="false">
      <c r="A460" s="34"/>
      <c r="B460" s="30"/>
      <c r="C460" s="30"/>
      <c r="D460" s="30"/>
      <c r="E460" s="16" t="str">
        <f aca="false">IF(B460="","",IFERROR(INDEX(Produtos!$C$5:$C$44,MATCH(B460,Produtos!$A$5:$A$44,0)),0))</f>
        <v/>
      </c>
      <c r="F460" s="16" t="str">
        <f aca="false">IF(B460="","",C460*E460)</f>
        <v/>
      </c>
      <c r="G460" s="16" t="str">
        <f aca="false">IF(B460="","",C460*IFERROR(INDEX(Produtos!$D$5:$D$44,MATCH(B460,Produtos!$A$5:$A$44,0)),0))</f>
        <v/>
      </c>
      <c r="H460" s="16" t="str">
        <f aca="false">IF(B460="","",F460*IFERROR(INDEX(Despesas!$B$5:$B$8,MATCH(D460,Despesas!$A$5:$A$8,0)),0))</f>
        <v/>
      </c>
      <c r="I460" s="16" t="str">
        <f aca="false">IF(B460="","",F460-G460-H460)</f>
        <v/>
      </c>
    </row>
    <row r="461" customFormat="false" ht="15" hidden="false" customHeight="false" outlineLevel="0" collapsed="false">
      <c r="A461" s="34"/>
      <c r="B461" s="30"/>
      <c r="C461" s="30"/>
      <c r="D461" s="30"/>
      <c r="E461" s="16" t="str">
        <f aca="false">IF(B461="","",IFERROR(INDEX(Produtos!$C$5:$C$44,MATCH(B461,Produtos!$A$5:$A$44,0)),0))</f>
        <v/>
      </c>
      <c r="F461" s="16" t="str">
        <f aca="false">IF(B461="","",C461*E461)</f>
        <v/>
      </c>
      <c r="G461" s="16" t="str">
        <f aca="false">IF(B461="","",C461*IFERROR(INDEX(Produtos!$D$5:$D$44,MATCH(B461,Produtos!$A$5:$A$44,0)),0))</f>
        <v/>
      </c>
      <c r="H461" s="16" t="str">
        <f aca="false">IF(B461="","",F461*IFERROR(INDEX(Despesas!$B$5:$B$8,MATCH(D461,Despesas!$A$5:$A$8,0)),0))</f>
        <v/>
      </c>
      <c r="I461" s="16" t="str">
        <f aca="false">IF(B461="","",F461-G461-H461)</f>
        <v/>
      </c>
    </row>
    <row r="462" customFormat="false" ht="15" hidden="false" customHeight="false" outlineLevel="0" collapsed="false">
      <c r="A462" s="34"/>
      <c r="B462" s="30"/>
      <c r="C462" s="30"/>
      <c r="D462" s="30"/>
      <c r="E462" s="16" t="str">
        <f aca="false">IF(B462="","",IFERROR(INDEX(Produtos!$C$5:$C$44,MATCH(B462,Produtos!$A$5:$A$44,0)),0))</f>
        <v/>
      </c>
      <c r="F462" s="16" t="str">
        <f aca="false">IF(B462="","",C462*E462)</f>
        <v/>
      </c>
      <c r="G462" s="16" t="str">
        <f aca="false">IF(B462="","",C462*IFERROR(INDEX(Produtos!$D$5:$D$44,MATCH(B462,Produtos!$A$5:$A$44,0)),0))</f>
        <v/>
      </c>
      <c r="H462" s="16" t="str">
        <f aca="false">IF(B462="","",F462*IFERROR(INDEX(Despesas!$B$5:$B$8,MATCH(D462,Despesas!$A$5:$A$8,0)),0))</f>
        <v/>
      </c>
      <c r="I462" s="16" t="str">
        <f aca="false">IF(B462="","",F462-G462-H462)</f>
        <v/>
      </c>
    </row>
    <row r="463" customFormat="false" ht="15" hidden="false" customHeight="false" outlineLevel="0" collapsed="false">
      <c r="A463" s="34"/>
      <c r="B463" s="30"/>
      <c r="C463" s="30"/>
      <c r="D463" s="30"/>
      <c r="E463" s="16" t="str">
        <f aca="false">IF(B463="","",IFERROR(INDEX(Produtos!$C$5:$C$44,MATCH(B463,Produtos!$A$5:$A$44,0)),0))</f>
        <v/>
      </c>
      <c r="F463" s="16" t="str">
        <f aca="false">IF(B463="","",C463*E463)</f>
        <v/>
      </c>
      <c r="G463" s="16" t="str">
        <f aca="false">IF(B463="","",C463*IFERROR(INDEX(Produtos!$D$5:$D$44,MATCH(B463,Produtos!$A$5:$A$44,0)),0))</f>
        <v/>
      </c>
      <c r="H463" s="16" t="str">
        <f aca="false">IF(B463="","",F463*IFERROR(INDEX(Despesas!$B$5:$B$8,MATCH(D463,Despesas!$A$5:$A$8,0)),0))</f>
        <v/>
      </c>
      <c r="I463" s="16" t="str">
        <f aca="false">IF(B463="","",F463-G463-H463)</f>
        <v/>
      </c>
    </row>
    <row r="464" customFormat="false" ht="15" hidden="false" customHeight="false" outlineLevel="0" collapsed="false">
      <c r="A464" s="34"/>
      <c r="B464" s="30"/>
      <c r="C464" s="30"/>
      <c r="D464" s="30"/>
      <c r="E464" s="16" t="str">
        <f aca="false">IF(B464="","",IFERROR(INDEX(Produtos!$C$5:$C$44,MATCH(B464,Produtos!$A$5:$A$44,0)),0))</f>
        <v/>
      </c>
      <c r="F464" s="16" t="str">
        <f aca="false">IF(B464="","",C464*E464)</f>
        <v/>
      </c>
      <c r="G464" s="16" t="str">
        <f aca="false">IF(B464="","",C464*IFERROR(INDEX(Produtos!$D$5:$D$44,MATCH(B464,Produtos!$A$5:$A$44,0)),0))</f>
        <v/>
      </c>
      <c r="H464" s="16" t="str">
        <f aca="false">IF(B464="","",F464*IFERROR(INDEX(Despesas!$B$5:$B$8,MATCH(D464,Despesas!$A$5:$A$8,0)),0))</f>
        <v/>
      </c>
      <c r="I464" s="16" t="str">
        <f aca="false">IF(B464="","",F464-G464-H464)</f>
        <v/>
      </c>
    </row>
    <row r="465" customFormat="false" ht="15" hidden="false" customHeight="false" outlineLevel="0" collapsed="false">
      <c r="A465" s="34"/>
      <c r="B465" s="30"/>
      <c r="C465" s="30"/>
      <c r="D465" s="30"/>
      <c r="E465" s="16" t="str">
        <f aca="false">IF(B465="","",IFERROR(INDEX(Produtos!$C$5:$C$44,MATCH(B465,Produtos!$A$5:$A$44,0)),0))</f>
        <v/>
      </c>
      <c r="F465" s="16" t="str">
        <f aca="false">IF(B465="","",C465*E465)</f>
        <v/>
      </c>
      <c r="G465" s="16" t="str">
        <f aca="false">IF(B465="","",C465*IFERROR(INDEX(Produtos!$D$5:$D$44,MATCH(B465,Produtos!$A$5:$A$44,0)),0))</f>
        <v/>
      </c>
      <c r="H465" s="16" t="str">
        <f aca="false">IF(B465="","",F465*IFERROR(INDEX(Despesas!$B$5:$B$8,MATCH(D465,Despesas!$A$5:$A$8,0)),0))</f>
        <v/>
      </c>
      <c r="I465" s="16" t="str">
        <f aca="false">IF(B465="","",F465-G465-H465)</f>
        <v/>
      </c>
    </row>
    <row r="466" customFormat="false" ht="15" hidden="false" customHeight="false" outlineLevel="0" collapsed="false">
      <c r="A466" s="34"/>
      <c r="B466" s="30"/>
      <c r="C466" s="30"/>
      <c r="D466" s="30"/>
      <c r="E466" s="16" t="str">
        <f aca="false">IF(B466="","",IFERROR(INDEX(Produtos!$C$5:$C$44,MATCH(B466,Produtos!$A$5:$A$44,0)),0))</f>
        <v/>
      </c>
      <c r="F466" s="16" t="str">
        <f aca="false">IF(B466="","",C466*E466)</f>
        <v/>
      </c>
      <c r="G466" s="16" t="str">
        <f aca="false">IF(B466="","",C466*IFERROR(INDEX(Produtos!$D$5:$D$44,MATCH(B466,Produtos!$A$5:$A$44,0)),0))</f>
        <v/>
      </c>
      <c r="H466" s="16" t="str">
        <f aca="false">IF(B466="","",F466*IFERROR(INDEX(Despesas!$B$5:$B$8,MATCH(D466,Despesas!$A$5:$A$8,0)),0))</f>
        <v/>
      </c>
      <c r="I466" s="16" t="str">
        <f aca="false">IF(B466="","",F466-G466-H466)</f>
        <v/>
      </c>
    </row>
    <row r="467" customFormat="false" ht="15" hidden="false" customHeight="false" outlineLevel="0" collapsed="false">
      <c r="A467" s="34"/>
      <c r="B467" s="30"/>
      <c r="C467" s="30"/>
      <c r="D467" s="30"/>
      <c r="E467" s="16" t="str">
        <f aca="false">IF(B467="","",IFERROR(INDEX(Produtos!$C$5:$C$44,MATCH(B467,Produtos!$A$5:$A$44,0)),0))</f>
        <v/>
      </c>
      <c r="F467" s="16" t="str">
        <f aca="false">IF(B467="","",C467*E467)</f>
        <v/>
      </c>
      <c r="G467" s="16" t="str">
        <f aca="false">IF(B467="","",C467*IFERROR(INDEX(Produtos!$D$5:$D$44,MATCH(B467,Produtos!$A$5:$A$44,0)),0))</f>
        <v/>
      </c>
      <c r="H467" s="16" t="str">
        <f aca="false">IF(B467="","",F467*IFERROR(INDEX(Despesas!$B$5:$B$8,MATCH(D467,Despesas!$A$5:$A$8,0)),0))</f>
        <v/>
      </c>
      <c r="I467" s="16" t="str">
        <f aca="false">IF(B467="","",F467-G467-H467)</f>
        <v/>
      </c>
    </row>
    <row r="468" customFormat="false" ht="15" hidden="false" customHeight="false" outlineLevel="0" collapsed="false">
      <c r="A468" s="34"/>
      <c r="B468" s="30"/>
      <c r="C468" s="30"/>
      <c r="D468" s="30"/>
      <c r="E468" s="16" t="str">
        <f aca="false">IF(B468="","",IFERROR(INDEX(Produtos!$C$5:$C$44,MATCH(B468,Produtos!$A$5:$A$44,0)),0))</f>
        <v/>
      </c>
      <c r="F468" s="16" t="str">
        <f aca="false">IF(B468="","",C468*E468)</f>
        <v/>
      </c>
      <c r="G468" s="16" t="str">
        <f aca="false">IF(B468="","",C468*IFERROR(INDEX(Produtos!$D$5:$D$44,MATCH(B468,Produtos!$A$5:$A$44,0)),0))</f>
        <v/>
      </c>
      <c r="H468" s="16" t="str">
        <f aca="false">IF(B468="","",F468*IFERROR(INDEX(Despesas!$B$5:$B$8,MATCH(D468,Despesas!$A$5:$A$8,0)),0))</f>
        <v/>
      </c>
      <c r="I468" s="16" t="str">
        <f aca="false">IF(B468="","",F468-G468-H468)</f>
        <v/>
      </c>
    </row>
    <row r="469" customFormat="false" ht="15" hidden="false" customHeight="false" outlineLevel="0" collapsed="false">
      <c r="A469" s="34"/>
      <c r="B469" s="30"/>
      <c r="C469" s="30"/>
      <c r="D469" s="30"/>
      <c r="E469" s="16" t="str">
        <f aca="false">IF(B469="","",IFERROR(INDEX(Produtos!$C$5:$C$44,MATCH(B469,Produtos!$A$5:$A$44,0)),0))</f>
        <v/>
      </c>
      <c r="F469" s="16" t="str">
        <f aca="false">IF(B469="","",C469*E469)</f>
        <v/>
      </c>
      <c r="G469" s="16" t="str">
        <f aca="false">IF(B469="","",C469*IFERROR(INDEX(Produtos!$D$5:$D$44,MATCH(B469,Produtos!$A$5:$A$44,0)),0))</f>
        <v/>
      </c>
      <c r="H469" s="16" t="str">
        <f aca="false">IF(B469="","",F469*IFERROR(INDEX(Despesas!$B$5:$B$8,MATCH(D469,Despesas!$A$5:$A$8,0)),0))</f>
        <v/>
      </c>
      <c r="I469" s="16" t="str">
        <f aca="false">IF(B469="","",F469-G469-H469)</f>
        <v/>
      </c>
    </row>
    <row r="470" customFormat="false" ht="15" hidden="false" customHeight="false" outlineLevel="0" collapsed="false">
      <c r="A470" s="34"/>
      <c r="B470" s="30"/>
      <c r="C470" s="30"/>
      <c r="D470" s="30"/>
      <c r="E470" s="16" t="str">
        <f aca="false">IF(B470="","",IFERROR(INDEX(Produtos!$C$5:$C$44,MATCH(B470,Produtos!$A$5:$A$44,0)),0))</f>
        <v/>
      </c>
      <c r="F470" s="16" t="str">
        <f aca="false">IF(B470="","",C470*E470)</f>
        <v/>
      </c>
      <c r="G470" s="16" t="str">
        <f aca="false">IF(B470="","",C470*IFERROR(INDEX(Produtos!$D$5:$D$44,MATCH(B470,Produtos!$A$5:$A$44,0)),0))</f>
        <v/>
      </c>
      <c r="H470" s="16" t="str">
        <f aca="false">IF(B470="","",F470*IFERROR(INDEX(Despesas!$B$5:$B$8,MATCH(D470,Despesas!$A$5:$A$8,0)),0))</f>
        <v/>
      </c>
      <c r="I470" s="16" t="str">
        <f aca="false">IF(B470="","",F470-G470-H470)</f>
        <v/>
      </c>
    </row>
    <row r="471" customFormat="false" ht="15" hidden="false" customHeight="false" outlineLevel="0" collapsed="false">
      <c r="A471" s="34"/>
      <c r="B471" s="30"/>
      <c r="C471" s="30"/>
      <c r="D471" s="30"/>
      <c r="E471" s="16" t="str">
        <f aca="false">IF(B471="","",IFERROR(INDEX(Produtos!$C$5:$C$44,MATCH(B471,Produtos!$A$5:$A$44,0)),0))</f>
        <v/>
      </c>
      <c r="F471" s="16" t="str">
        <f aca="false">IF(B471="","",C471*E471)</f>
        <v/>
      </c>
      <c r="G471" s="16" t="str">
        <f aca="false">IF(B471="","",C471*IFERROR(INDEX(Produtos!$D$5:$D$44,MATCH(B471,Produtos!$A$5:$A$44,0)),0))</f>
        <v/>
      </c>
      <c r="H471" s="16" t="str">
        <f aca="false">IF(B471="","",F471*IFERROR(INDEX(Despesas!$B$5:$B$8,MATCH(D471,Despesas!$A$5:$A$8,0)),0))</f>
        <v/>
      </c>
      <c r="I471" s="16" t="str">
        <f aca="false">IF(B471="","",F471-G471-H471)</f>
        <v/>
      </c>
    </row>
    <row r="472" customFormat="false" ht="15" hidden="false" customHeight="false" outlineLevel="0" collapsed="false">
      <c r="A472" s="34"/>
      <c r="B472" s="30"/>
      <c r="C472" s="30"/>
      <c r="D472" s="30"/>
      <c r="E472" s="16" t="str">
        <f aca="false">IF(B472="","",IFERROR(INDEX(Produtos!$C$5:$C$44,MATCH(B472,Produtos!$A$5:$A$44,0)),0))</f>
        <v/>
      </c>
      <c r="F472" s="16" t="str">
        <f aca="false">IF(B472="","",C472*E472)</f>
        <v/>
      </c>
      <c r="G472" s="16" t="str">
        <f aca="false">IF(B472="","",C472*IFERROR(INDEX(Produtos!$D$5:$D$44,MATCH(B472,Produtos!$A$5:$A$44,0)),0))</f>
        <v/>
      </c>
      <c r="H472" s="16" t="str">
        <f aca="false">IF(B472="","",F472*IFERROR(INDEX(Despesas!$B$5:$B$8,MATCH(D472,Despesas!$A$5:$A$8,0)),0))</f>
        <v/>
      </c>
      <c r="I472" s="16" t="str">
        <f aca="false">IF(B472="","",F472-G472-H472)</f>
        <v/>
      </c>
    </row>
    <row r="473" customFormat="false" ht="15" hidden="false" customHeight="false" outlineLevel="0" collapsed="false">
      <c r="A473" s="34"/>
      <c r="B473" s="30"/>
      <c r="C473" s="30"/>
      <c r="D473" s="30"/>
      <c r="E473" s="16" t="str">
        <f aca="false">IF(B473="","",IFERROR(INDEX(Produtos!$C$5:$C$44,MATCH(B473,Produtos!$A$5:$A$44,0)),0))</f>
        <v/>
      </c>
      <c r="F473" s="16" t="str">
        <f aca="false">IF(B473="","",C473*E473)</f>
        <v/>
      </c>
      <c r="G473" s="16" t="str">
        <f aca="false">IF(B473="","",C473*IFERROR(INDEX(Produtos!$D$5:$D$44,MATCH(B473,Produtos!$A$5:$A$44,0)),0))</f>
        <v/>
      </c>
      <c r="H473" s="16" t="str">
        <f aca="false">IF(B473="","",F473*IFERROR(INDEX(Despesas!$B$5:$B$8,MATCH(D473,Despesas!$A$5:$A$8,0)),0))</f>
        <v/>
      </c>
      <c r="I473" s="16" t="str">
        <f aca="false">IF(B473="","",F473-G473-H473)</f>
        <v/>
      </c>
    </row>
    <row r="474" customFormat="false" ht="15" hidden="false" customHeight="false" outlineLevel="0" collapsed="false">
      <c r="A474" s="34"/>
      <c r="B474" s="30"/>
      <c r="C474" s="30"/>
      <c r="D474" s="30"/>
      <c r="E474" s="16" t="str">
        <f aca="false">IF(B474="","",IFERROR(INDEX(Produtos!$C$5:$C$44,MATCH(B474,Produtos!$A$5:$A$44,0)),0))</f>
        <v/>
      </c>
      <c r="F474" s="16" t="str">
        <f aca="false">IF(B474="","",C474*E474)</f>
        <v/>
      </c>
      <c r="G474" s="16" t="str">
        <f aca="false">IF(B474="","",C474*IFERROR(INDEX(Produtos!$D$5:$D$44,MATCH(B474,Produtos!$A$5:$A$44,0)),0))</f>
        <v/>
      </c>
      <c r="H474" s="16" t="str">
        <f aca="false">IF(B474="","",F474*IFERROR(INDEX(Despesas!$B$5:$B$8,MATCH(D474,Despesas!$A$5:$A$8,0)),0))</f>
        <v/>
      </c>
      <c r="I474" s="16" t="str">
        <f aca="false">IF(B474="","",F474-G474-H474)</f>
        <v/>
      </c>
    </row>
    <row r="475" customFormat="false" ht="15" hidden="false" customHeight="false" outlineLevel="0" collapsed="false">
      <c r="A475" s="34"/>
      <c r="B475" s="30"/>
      <c r="C475" s="30"/>
      <c r="D475" s="30"/>
      <c r="E475" s="16" t="str">
        <f aca="false">IF(B475="","",IFERROR(INDEX(Produtos!$C$5:$C$44,MATCH(B475,Produtos!$A$5:$A$44,0)),0))</f>
        <v/>
      </c>
      <c r="F475" s="16" t="str">
        <f aca="false">IF(B475="","",C475*E475)</f>
        <v/>
      </c>
      <c r="G475" s="16" t="str">
        <f aca="false">IF(B475="","",C475*IFERROR(INDEX(Produtos!$D$5:$D$44,MATCH(B475,Produtos!$A$5:$A$44,0)),0))</f>
        <v/>
      </c>
      <c r="H475" s="16" t="str">
        <f aca="false">IF(B475="","",F475*IFERROR(INDEX(Despesas!$B$5:$B$8,MATCH(D475,Despesas!$A$5:$A$8,0)),0))</f>
        <v/>
      </c>
      <c r="I475" s="16" t="str">
        <f aca="false">IF(B475="","",F475-G475-H475)</f>
        <v/>
      </c>
    </row>
    <row r="476" customFormat="false" ht="15" hidden="false" customHeight="false" outlineLevel="0" collapsed="false">
      <c r="A476" s="34"/>
      <c r="B476" s="30"/>
      <c r="C476" s="30"/>
      <c r="D476" s="30"/>
      <c r="E476" s="16" t="str">
        <f aca="false">IF(B476="","",IFERROR(INDEX(Produtos!$C$5:$C$44,MATCH(B476,Produtos!$A$5:$A$44,0)),0))</f>
        <v/>
      </c>
      <c r="F476" s="16" t="str">
        <f aca="false">IF(B476="","",C476*E476)</f>
        <v/>
      </c>
      <c r="G476" s="16" t="str">
        <f aca="false">IF(B476="","",C476*IFERROR(INDEX(Produtos!$D$5:$D$44,MATCH(B476,Produtos!$A$5:$A$44,0)),0))</f>
        <v/>
      </c>
      <c r="H476" s="16" t="str">
        <f aca="false">IF(B476="","",F476*IFERROR(INDEX(Despesas!$B$5:$B$8,MATCH(D476,Despesas!$A$5:$A$8,0)),0))</f>
        <v/>
      </c>
      <c r="I476" s="16" t="str">
        <f aca="false">IF(B476="","",F476-G476-H476)</f>
        <v/>
      </c>
    </row>
    <row r="477" customFormat="false" ht="15" hidden="false" customHeight="false" outlineLevel="0" collapsed="false">
      <c r="A477" s="34"/>
      <c r="B477" s="30"/>
      <c r="C477" s="30"/>
      <c r="D477" s="30"/>
      <c r="E477" s="16" t="str">
        <f aca="false">IF(B477="","",IFERROR(INDEX(Produtos!$C$5:$C$44,MATCH(B477,Produtos!$A$5:$A$44,0)),0))</f>
        <v/>
      </c>
      <c r="F477" s="16" t="str">
        <f aca="false">IF(B477="","",C477*E477)</f>
        <v/>
      </c>
      <c r="G477" s="16" t="str">
        <f aca="false">IF(B477="","",C477*IFERROR(INDEX(Produtos!$D$5:$D$44,MATCH(B477,Produtos!$A$5:$A$44,0)),0))</f>
        <v/>
      </c>
      <c r="H477" s="16" t="str">
        <f aca="false">IF(B477="","",F477*IFERROR(INDEX(Despesas!$B$5:$B$8,MATCH(D477,Despesas!$A$5:$A$8,0)),0))</f>
        <v/>
      </c>
      <c r="I477" s="16" t="str">
        <f aca="false">IF(B477="","",F477-G477-H477)</f>
        <v/>
      </c>
    </row>
    <row r="478" customFormat="false" ht="15" hidden="false" customHeight="false" outlineLevel="0" collapsed="false">
      <c r="A478" s="34"/>
      <c r="B478" s="30"/>
      <c r="C478" s="30"/>
      <c r="D478" s="30"/>
      <c r="E478" s="16" t="str">
        <f aca="false">IF(B478="","",IFERROR(INDEX(Produtos!$C$5:$C$44,MATCH(B478,Produtos!$A$5:$A$44,0)),0))</f>
        <v/>
      </c>
      <c r="F478" s="16" t="str">
        <f aca="false">IF(B478="","",C478*E478)</f>
        <v/>
      </c>
      <c r="G478" s="16" t="str">
        <f aca="false">IF(B478="","",C478*IFERROR(INDEX(Produtos!$D$5:$D$44,MATCH(B478,Produtos!$A$5:$A$44,0)),0))</f>
        <v/>
      </c>
      <c r="H478" s="16" t="str">
        <f aca="false">IF(B478="","",F478*IFERROR(INDEX(Despesas!$B$5:$B$8,MATCH(D478,Despesas!$A$5:$A$8,0)),0))</f>
        <v/>
      </c>
      <c r="I478" s="16" t="str">
        <f aca="false">IF(B478="","",F478-G478-H478)</f>
        <v/>
      </c>
    </row>
    <row r="479" customFormat="false" ht="15" hidden="false" customHeight="false" outlineLevel="0" collapsed="false">
      <c r="A479" s="34"/>
      <c r="B479" s="30"/>
      <c r="C479" s="30"/>
      <c r="D479" s="30"/>
      <c r="E479" s="16" t="str">
        <f aca="false">IF(B479="","",IFERROR(INDEX(Produtos!$C$5:$C$44,MATCH(B479,Produtos!$A$5:$A$44,0)),0))</f>
        <v/>
      </c>
      <c r="F479" s="16" t="str">
        <f aca="false">IF(B479="","",C479*E479)</f>
        <v/>
      </c>
      <c r="G479" s="16" t="str">
        <f aca="false">IF(B479="","",C479*IFERROR(INDEX(Produtos!$D$5:$D$44,MATCH(B479,Produtos!$A$5:$A$44,0)),0))</f>
        <v/>
      </c>
      <c r="H479" s="16" t="str">
        <f aca="false">IF(B479="","",F479*IFERROR(INDEX(Despesas!$B$5:$B$8,MATCH(D479,Despesas!$A$5:$A$8,0)),0))</f>
        <v/>
      </c>
      <c r="I479" s="16" t="str">
        <f aca="false">IF(B479="","",F479-G479-H479)</f>
        <v/>
      </c>
    </row>
    <row r="480" customFormat="false" ht="15" hidden="false" customHeight="false" outlineLevel="0" collapsed="false">
      <c r="A480" s="34"/>
      <c r="B480" s="30"/>
      <c r="C480" s="30"/>
      <c r="D480" s="30"/>
      <c r="E480" s="16" t="str">
        <f aca="false">IF(B480="","",IFERROR(INDEX(Produtos!$C$5:$C$44,MATCH(B480,Produtos!$A$5:$A$44,0)),0))</f>
        <v/>
      </c>
      <c r="F480" s="16" t="str">
        <f aca="false">IF(B480="","",C480*E480)</f>
        <v/>
      </c>
      <c r="G480" s="16" t="str">
        <f aca="false">IF(B480="","",C480*IFERROR(INDEX(Produtos!$D$5:$D$44,MATCH(B480,Produtos!$A$5:$A$44,0)),0))</f>
        <v/>
      </c>
      <c r="H480" s="16" t="str">
        <f aca="false">IF(B480="","",F480*IFERROR(INDEX(Despesas!$B$5:$B$8,MATCH(D480,Despesas!$A$5:$A$8,0)),0))</f>
        <v/>
      </c>
      <c r="I480" s="16" t="str">
        <f aca="false">IF(B480="","",F480-G480-H480)</f>
        <v/>
      </c>
    </row>
    <row r="481" customFormat="false" ht="15" hidden="false" customHeight="false" outlineLevel="0" collapsed="false">
      <c r="A481" s="34"/>
      <c r="B481" s="30"/>
      <c r="C481" s="30"/>
      <c r="D481" s="30"/>
      <c r="E481" s="16" t="str">
        <f aca="false">IF(B481="","",IFERROR(INDEX(Produtos!$C$5:$C$44,MATCH(B481,Produtos!$A$5:$A$44,0)),0))</f>
        <v/>
      </c>
      <c r="F481" s="16" t="str">
        <f aca="false">IF(B481="","",C481*E481)</f>
        <v/>
      </c>
      <c r="G481" s="16" t="str">
        <f aca="false">IF(B481="","",C481*IFERROR(INDEX(Produtos!$D$5:$D$44,MATCH(B481,Produtos!$A$5:$A$44,0)),0))</f>
        <v/>
      </c>
      <c r="H481" s="16" t="str">
        <f aca="false">IF(B481="","",F481*IFERROR(INDEX(Despesas!$B$5:$B$8,MATCH(D481,Despesas!$A$5:$A$8,0)),0))</f>
        <v/>
      </c>
      <c r="I481" s="16" t="str">
        <f aca="false">IF(B481="","",F481-G481-H481)</f>
        <v/>
      </c>
    </row>
    <row r="482" customFormat="false" ht="15" hidden="false" customHeight="false" outlineLevel="0" collapsed="false">
      <c r="A482" s="34"/>
      <c r="B482" s="30"/>
      <c r="C482" s="30"/>
      <c r="D482" s="30"/>
      <c r="E482" s="16" t="str">
        <f aca="false">IF(B482="","",IFERROR(INDEX(Produtos!$C$5:$C$44,MATCH(B482,Produtos!$A$5:$A$44,0)),0))</f>
        <v/>
      </c>
      <c r="F482" s="16" t="str">
        <f aca="false">IF(B482="","",C482*E482)</f>
        <v/>
      </c>
      <c r="G482" s="16" t="str">
        <f aca="false">IF(B482="","",C482*IFERROR(INDEX(Produtos!$D$5:$D$44,MATCH(B482,Produtos!$A$5:$A$44,0)),0))</f>
        <v/>
      </c>
      <c r="H482" s="16" t="str">
        <f aca="false">IF(B482="","",F482*IFERROR(INDEX(Despesas!$B$5:$B$8,MATCH(D482,Despesas!$A$5:$A$8,0)),0))</f>
        <v/>
      </c>
      <c r="I482" s="16" t="str">
        <f aca="false">IF(B482="","",F482-G482-H482)</f>
        <v/>
      </c>
    </row>
    <row r="483" customFormat="false" ht="15" hidden="false" customHeight="false" outlineLevel="0" collapsed="false">
      <c r="A483" s="34"/>
      <c r="B483" s="30"/>
      <c r="C483" s="30"/>
      <c r="D483" s="30"/>
      <c r="E483" s="16" t="str">
        <f aca="false">IF(B483="","",IFERROR(INDEX(Produtos!$C$5:$C$44,MATCH(B483,Produtos!$A$5:$A$44,0)),0))</f>
        <v/>
      </c>
      <c r="F483" s="16" t="str">
        <f aca="false">IF(B483="","",C483*E483)</f>
        <v/>
      </c>
      <c r="G483" s="16" t="str">
        <f aca="false">IF(B483="","",C483*IFERROR(INDEX(Produtos!$D$5:$D$44,MATCH(B483,Produtos!$A$5:$A$44,0)),0))</f>
        <v/>
      </c>
      <c r="H483" s="16" t="str">
        <f aca="false">IF(B483="","",F483*IFERROR(INDEX(Despesas!$B$5:$B$8,MATCH(D483,Despesas!$A$5:$A$8,0)),0))</f>
        <v/>
      </c>
      <c r="I483" s="16" t="str">
        <f aca="false">IF(B483="","",F483-G483-H483)</f>
        <v/>
      </c>
    </row>
    <row r="484" customFormat="false" ht="15" hidden="false" customHeight="false" outlineLevel="0" collapsed="false">
      <c r="A484" s="34"/>
      <c r="B484" s="30"/>
      <c r="C484" s="30"/>
      <c r="D484" s="30"/>
      <c r="E484" s="16" t="str">
        <f aca="false">IF(B484="","",IFERROR(INDEX(Produtos!$C$5:$C$44,MATCH(B484,Produtos!$A$5:$A$44,0)),0))</f>
        <v/>
      </c>
      <c r="F484" s="16" t="str">
        <f aca="false">IF(B484="","",C484*E484)</f>
        <v/>
      </c>
      <c r="G484" s="16" t="str">
        <f aca="false">IF(B484="","",C484*IFERROR(INDEX(Produtos!$D$5:$D$44,MATCH(B484,Produtos!$A$5:$A$44,0)),0))</f>
        <v/>
      </c>
      <c r="H484" s="16" t="str">
        <f aca="false">IF(B484="","",F484*IFERROR(INDEX(Despesas!$B$5:$B$8,MATCH(D484,Despesas!$A$5:$A$8,0)),0))</f>
        <v/>
      </c>
      <c r="I484" s="16" t="str">
        <f aca="false">IF(B484="","",F484-G484-H484)</f>
        <v/>
      </c>
    </row>
    <row r="485" customFormat="false" ht="15" hidden="false" customHeight="false" outlineLevel="0" collapsed="false">
      <c r="A485" s="34"/>
      <c r="B485" s="30"/>
      <c r="C485" s="30"/>
      <c r="D485" s="30"/>
      <c r="E485" s="16" t="str">
        <f aca="false">IF(B485="","",IFERROR(INDEX(Produtos!$C$5:$C$44,MATCH(B485,Produtos!$A$5:$A$44,0)),0))</f>
        <v/>
      </c>
      <c r="F485" s="16" t="str">
        <f aca="false">IF(B485="","",C485*E485)</f>
        <v/>
      </c>
      <c r="G485" s="16" t="str">
        <f aca="false">IF(B485="","",C485*IFERROR(INDEX(Produtos!$D$5:$D$44,MATCH(B485,Produtos!$A$5:$A$44,0)),0))</f>
        <v/>
      </c>
      <c r="H485" s="16" t="str">
        <f aca="false">IF(B485="","",F485*IFERROR(INDEX(Despesas!$B$5:$B$8,MATCH(D485,Despesas!$A$5:$A$8,0)),0))</f>
        <v/>
      </c>
      <c r="I485" s="16" t="str">
        <f aca="false">IF(B485="","",F485-G485-H485)</f>
        <v/>
      </c>
    </row>
    <row r="486" customFormat="false" ht="15" hidden="false" customHeight="false" outlineLevel="0" collapsed="false">
      <c r="A486" s="34"/>
      <c r="B486" s="30"/>
      <c r="C486" s="30"/>
      <c r="D486" s="30"/>
      <c r="E486" s="16" t="str">
        <f aca="false">IF(B486="","",IFERROR(INDEX(Produtos!$C$5:$C$44,MATCH(B486,Produtos!$A$5:$A$44,0)),0))</f>
        <v/>
      </c>
      <c r="F486" s="16" t="str">
        <f aca="false">IF(B486="","",C486*E486)</f>
        <v/>
      </c>
      <c r="G486" s="16" t="str">
        <f aca="false">IF(B486="","",C486*IFERROR(INDEX(Produtos!$D$5:$D$44,MATCH(B486,Produtos!$A$5:$A$44,0)),0))</f>
        <v/>
      </c>
      <c r="H486" s="16" t="str">
        <f aca="false">IF(B486="","",F486*IFERROR(INDEX(Despesas!$B$5:$B$8,MATCH(D486,Despesas!$A$5:$A$8,0)),0))</f>
        <v/>
      </c>
      <c r="I486" s="16" t="str">
        <f aca="false">IF(B486="","",F486-G486-H486)</f>
        <v/>
      </c>
    </row>
    <row r="487" customFormat="false" ht="15" hidden="false" customHeight="false" outlineLevel="0" collapsed="false">
      <c r="A487" s="34"/>
      <c r="B487" s="30"/>
      <c r="C487" s="30"/>
      <c r="D487" s="30"/>
      <c r="E487" s="16" t="str">
        <f aca="false">IF(B487="","",IFERROR(INDEX(Produtos!$C$5:$C$44,MATCH(B487,Produtos!$A$5:$A$44,0)),0))</f>
        <v/>
      </c>
      <c r="F487" s="16" t="str">
        <f aca="false">IF(B487="","",C487*E487)</f>
        <v/>
      </c>
      <c r="G487" s="16" t="str">
        <f aca="false">IF(B487="","",C487*IFERROR(INDEX(Produtos!$D$5:$D$44,MATCH(B487,Produtos!$A$5:$A$44,0)),0))</f>
        <v/>
      </c>
      <c r="H487" s="16" t="str">
        <f aca="false">IF(B487="","",F487*IFERROR(INDEX(Despesas!$B$5:$B$8,MATCH(D487,Despesas!$A$5:$A$8,0)),0))</f>
        <v/>
      </c>
      <c r="I487" s="16" t="str">
        <f aca="false">IF(B487="","",F487-G487-H487)</f>
        <v/>
      </c>
    </row>
    <row r="488" customFormat="false" ht="15" hidden="false" customHeight="false" outlineLevel="0" collapsed="false">
      <c r="A488" s="34"/>
      <c r="B488" s="30"/>
      <c r="C488" s="30"/>
      <c r="D488" s="30"/>
      <c r="E488" s="16" t="str">
        <f aca="false">IF(B488="","",IFERROR(INDEX(Produtos!$C$5:$C$44,MATCH(B488,Produtos!$A$5:$A$44,0)),0))</f>
        <v/>
      </c>
      <c r="F488" s="16" t="str">
        <f aca="false">IF(B488="","",C488*E488)</f>
        <v/>
      </c>
      <c r="G488" s="16" t="str">
        <f aca="false">IF(B488="","",C488*IFERROR(INDEX(Produtos!$D$5:$D$44,MATCH(B488,Produtos!$A$5:$A$44,0)),0))</f>
        <v/>
      </c>
      <c r="H488" s="16" t="str">
        <f aca="false">IF(B488="","",F488*IFERROR(INDEX(Despesas!$B$5:$B$8,MATCH(D488,Despesas!$A$5:$A$8,0)),0))</f>
        <v/>
      </c>
      <c r="I488" s="16" t="str">
        <f aca="false">IF(B488="","",F488-G488-H488)</f>
        <v/>
      </c>
    </row>
    <row r="489" customFormat="false" ht="15" hidden="false" customHeight="false" outlineLevel="0" collapsed="false">
      <c r="A489" s="34"/>
      <c r="B489" s="30"/>
      <c r="C489" s="30"/>
      <c r="D489" s="30"/>
      <c r="E489" s="16" t="str">
        <f aca="false">IF(B489="","",IFERROR(INDEX(Produtos!$C$5:$C$44,MATCH(B489,Produtos!$A$5:$A$44,0)),0))</f>
        <v/>
      </c>
      <c r="F489" s="16" t="str">
        <f aca="false">IF(B489="","",C489*E489)</f>
        <v/>
      </c>
      <c r="G489" s="16" t="str">
        <f aca="false">IF(B489="","",C489*IFERROR(INDEX(Produtos!$D$5:$D$44,MATCH(B489,Produtos!$A$5:$A$44,0)),0))</f>
        <v/>
      </c>
      <c r="H489" s="16" t="str">
        <f aca="false">IF(B489="","",F489*IFERROR(INDEX(Despesas!$B$5:$B$8,MATCH(D489,Despesas!$A$5:$A$8,0)),0))</f>
        <v/>
      </c>
      <c r="I489" s="16" t="str">
        <f aca="false">IF(B489="","",F489-G489-H489)</f>
        <v/>
      </c>
    </row>
    <row r="490" customFormat="false" ht="15" hidden="false" customHeight="false" outlineLevel="0" collapsed="false">
      <c r="A490" s="34"/>
      <c r="B490" s="30"/>
      <c r="C490" s="30"/>
      <c r="D490" s="30"/>
      <c r="E490" s="16" t="str">
        <f aca="false">IF(B490="","",IFERROR(INDEX(Produtos!$C$5:$C$44,MATCH(B490,Produtos!$A$5:$A$44,0)),0))</f>
        <v/>
      </c>
      <c r="F490" s="16" t="str">
        <f aca="false">IF(B490="","",C490*E490)</f>
        <v/>
      </c>
      <c r="G490" s="16" t="str">
        <f aca="false">IF(B490="","",C490*IFERROR(INDEX(Produtos!$D$5:$D$44,MATCH(B490,Produtos!$A$5:$A$44,0)),0))</f>
        <v/>
      </c>
      <c r="H490" s="16" t="str">
        <f aca="false">IF(B490="","",F490*IFERROR(INDEX(Despesas!$B$5:$B$8,MATCH(D490,Despesas!$A$5:$A$8,0)),0))</f>
        <v/>
      </c>
      <c r="I490" s="16" t="str">
        <f aca="false">IF(B490="","",F490-G490-H490)</f>
        <v/>
      </c>
    </row>
    <row r="491" customFormat="false" ht="15" hidden="false" customHeight="false" outlineLevel="0" collapsed="false">
      <c r="A491" s="34"/>
      <c r="B491" s="30"/>
      <c r="C491" s="30"/>
      <c r="D491" s="30"/>
      <c r="E491" s="16" t="str">
        <f aca="false">IF(B491="","",IFERROR(INDEX(Produtos!$C$5:$C$44,MATCH(B491,Produtos!$A$5:$A$44,0)),0))</f>
        <v/>
      </c>
      <c r="F491" s="16" t="str">
        <f aca="false">IF(B491="","",C491*E491)</f>
        <v/>
      </c>
      <c r="G491" s="16" t="str">
        <f aca="false">IF(B491="","",C491*IFERROR(INDEX(Produtos!$D$5:$D$44,MATCH(B491,Produtos!$A$5:$A$44,0)),0))</f>
        <v/>
      </c>
      <c r="H491" s="16" t="str">
        <f aca="false">IF(B491="","",F491*IFERROR(INDEX(Despesas!$B$5:$B$8,MATCH(D491,Despesas!$A$5:$A$8,0)),0))</f>
        <v/>
      </c>
      <c r="I491" s="16" t="str">
        <f aca="false">IF(B491="","",F491-G491-H491)</f>
        <v/>
      </c>
    </row>
    <row r="492" customFormat="false" ht="15" hidden="false" customHeight="false" outlineLevel="0" collapsed="false">
      <c r="A492" s="34"/>
      <c r="B492" s="30"/>
      <c r="C492" s="30"/>
      <c r="D492" s="30"/>
      <c r="E492" s="16" t="str">
        <f aca="false">IF(B492="","",IFERROR(INDEX(Produtos!$C$5:$C$44,MATCH(B492,Produtos!$A$5:$A$44,0)),0))</f>
        <v/>
      </c>
      <c r="F492" s="16" t="str">
        <f aca="false">IF(B492="","",C492*E492)</f>
        <v/>
      </c>
      <c r="G492" s="16" t="str">
        <f aca="false">IF(B492="","",C492*IFERROR(INDEX(Produtos!$D$5:$D$44,MATCH(B492,Produtos!$A$5:$A$44,0)),0))</f>
        <v/>
      </c>
      <c r="H492" s="16" t="str">
        <f aca="false">IF(B492="","",F492*IFERROR(INDEX(Despesas!$B$5:$B$8,MATCH(D492,Despesas!$A$5:$A$8,0)),0))</f>
        <v/>
      </c>
      <c r="I492" s="16" t="str">
        <f aca="false">IF(B492="","",F492-G492-H492)</f>
        <v/>
      </c>
    </row>
    <row r="493" customFormat="false" ht="15" hidden="false" customHeight="false" outlineLevel="0" collapsed="false">
      <c r="A493" s="34"/>
      <c r="B493" s="30"/>
      <c r="C493" s="30"/>
      <c r="D493" s="30"/>
      <c r="E493" s="16" t="str">
        <f aca="false">IF(B493="","",IFERROR(INDEX(Produtos!$C$5:$C$44,MATCH(B493,Produtos!$A$5:$A$44,0)),0))</f>
        <v/>
      </c>
      <c r="F493" s="16" t="str">
        <f aca="false">IF(B493="","",C493*E493)</f>
        <v/>
      </c>
      <c r="G493" s="16" t="str">
        <f aca="false">IF(B493="","",C493*IFERROR(INDEX(Produtos!$D$5:$D$44,MATCH(B493,Produtos!$A$5:$A$44,0)),0))</f>
        <v/>
      </c>
      <c r="H493" s="16" t="str">
        <f aca="false">IF(B493="","",F493*IFERROR(INDEX(Despesas!$B$5:$B$8,MATCH(D493,Despesas!$A$5:$A$8,0)),0))</f>
        <v/>
      </c>
      <c r="I493" s="16" t="str">
        <f aca="false">IF(B493="","",F493-G493-H493)</f>
        <v/>
      </c>
    </row>
    <row r="494" customFormat="false" ht="15" hidden="false" customHeight="false" outlineLevel="0" collapsed="false">
      <c r="A494" s="34"/>
      <c r="B494" s="30"/>
      <c r="C494" s="30"/>
      <c r="D494" s="30"/>
      <c r="E494" s="16" t="str">
        <f aca="false">IF(B494="","",IFERROR(INDEX(Produtos!$C$5:$C$44,MATCH(B494,Produtos!$A$5:$A$44,0)),0))</f>
        <v/>
      </c>
      <c r="F494" s="16" t="str">
        <f aca="false">IF(B494="","",C494*E494)</f>
        <v/>
      </c>
      <c r="G494" s="16" t="str">
        <f aca="false">IF(B494="","",C494*IFERROR(INDEX(Produtos!$D$5:$D$44,MATCH(B494,Produtos!$A$5:$A$44,0)),0))</f>
        <v/>
      </c>
      <c r="H494" s="16" t="str">
        <f aca="false">IF(B494="","",F494*IFERROR(INDEX(Despesas!$B$5:$B$8,MATCH(D494,Despesas!$A$5:$A$8,0)),0))</f>
        <v/>
      </c>
      <c r="I494" s="16" t="str">
        <f aca="false">IF(B494="","",F494-G494-H494)</f>
        <v/>
      </c>
    </row>
    <row r="495" customFormat="false" ht="15" hidden="false" customHeight="false" outlineLevel="0" collapsed="false">
      <c r="A495" s="34"/>
      <c r="B495" s="30"/>
      <c r="C495" s="30"/>
      <c r="D495" s="30"/>
      <c r="E495" s="16" t="str">
        <f aca="false">IF(B495="","",IFERROR(INDEX(Produtos!$C$5:$C$44,MATCH(B495,Produtos!$A$5:$A$44,0)),0))</f>
        <v/>
      </c>
      <c r="F495" s="16" t="str">
        <f aca="false">IF(B495="","",C495*E495)</f>
        <v/>
      </c>
      <c r="G495" s="16" t="str">
        <f aca="false">IF(B495="","",C495*IFERROR(INDEX(Produtos!$D$5:$D$44,MATCH(B495,Produtos!$A$5:$A$44,0)),0))</f>
        <v/>
      </c>
      <c r="H495" s="16" t="str">
        <f aca="false">IF(B495="","",F495*IFERROR(INDEX(Despesas!$B$5:$B$8,MATCH(D495,Despesas!$A$5:$A$8,0)),0))</f>
        <v/>
      </c>
      <c r="I495" s="16" t="str">
        <f aca="false">IF(B495="","",F495-G495-H495)</f>
        <v/>
      </c>
    </row>
    <row r="496" customFormat="false" ht="15" hidden="false" customHeight="false" outlineLevel="0" collapsed="false">
      <c r="A496" s="34"/>
      <c r="B496" s="30"/>
      <c r="C496" s="30"/>
      <c r="D496" s="30"/>
      <c r="E496" s="16" t="str">
        <f aca="false">IF(B496="","",IFERROR(INDEX(Produtos!$C$5:$C$44,MATCH(B496,Produtos!$A$5:$A$44,0)),0))</f>
        <v/>
      </c>
      <c r="F496" s="16" t="str">
        <f aca="false">IF(B496="","",C496*E496)</f>
        <v/>
      </c>
      <c r="G496" s="16" t="str">
        <f aca="false">IF(B496="","",C496*IFERROR(INDEX(Produtos!$D$5:$D$44,MATCH(B496,Produtos!$A$5:$A$44,0)),0))</f>
        <v/>
      </c>
      <c r="H496" s="16" t="str">
        <f aca="false">IF(B496="","",F496*IFERROR(INDEX(Despesas!$B$5:$B$8,MATCH(D496,Despesas!$A$5:$A$8,0)),0))</f>
        <v/>
      </c>
      <c r="I496" s="16" t="str">
        <f aca="false">IF(B496="","",F496-G496-H496)</f>
        <v/>
      </c>
    </row>
    <row r="497" customFormat="false" ht="15" hidden="false" customHeight="false" outlineLevel="0" collapsed="false">
      <c r="A497" s="34"/>
      <c r="B497" s="30"/>
      <c r="C497" s="30"/>
      <c r="D497" s="30"/>
      <c r="E497" s="16" t="str">
        <f aca="false">IF(B497="","",IFERROR(INDEX(Produtos!$C$5:$C$44,MATCH(B497,Produtos!$A$5:$A$44,0)),0))</f>
        <v/>
      </c>
      <c r="F497" s="16" t="str">
        <f aca="false">IF(B497="","",C497*E497)</f>
        <v/>
      </c>
      <c r="G497" s="16" t="str">
        <f aca="false">IF(B497="","",C497*IFERROR(INDEX(Produtos!$D$5:$D$44,MATCH(B497,Produtos!$A$5:$A$44,0)),0))</f>
        <v/>
      </c>
      <c r="H497" s="16" t="str">
        <f aca="false">IF(B497="","",F497*IFERROR(INDEX(Despesas!$B$5:$B$8,MATCH(D497,Despesas!$A$5:$A$8,0)),0))</f>
        <v/>
      </c>
      <c r="I497" s="16" t="str">
        <f aca="false">IF(B497="","",F497-G497-H497)</f>
        <v/>
      </c>
    </row>
    <row r="498" customFormat="false" ht="15" hidden="false" customHeight="false" outlineLevel="0" collapsed="false">
      <c r="A498" s="34"/>
      <c r="B498" s="30"/>
      <c r="C498" s="30"/>
      <c r="D498" s="30"/>
      <c r="E498" s="16" t="str">
        <f aca="false">IF(B498="","",IFERROR(INDEX(Produtos!$C$5:$C$44,MATCH(B498,Produtos!$A$5:$A$44,0)),0))</f>
        <v/>
      </c>
      <c r="F498" s="16" t="str">
        <f aca="false">IF(B498="","",C498*E498)</f>
        <v/>
      </c>
      <c r="G498" s="16" t="str">
        <f aca="false">IF(B498="","",C498*IFERROR(INDEX(Produtos!$D$5:$D$44,MATCH(B498,Produtos!$A$5:$A$44,0)),0))</f>
        <v/>
      </c>
      <c r="H498" s="16" t="str">
        <f aca="false">IF(B498="","",F498*IFERROR(INDEX(Despesas!$B$5:$B$8,MATCH(D498,Despesas!$A$5:$A$8,0)),0))</f>
        <v/>
      </c>
      <c r="I498" s="16" t="str">
        <f aca="false">IF(B498="","",F498-G498-H498)</f>
        <v/>
      </c>
    </row>
    <row r="499" customFormat="false" ht="15" hidden="false" customHeight="false" outlineLevel="0" collapsed="false">
      <c r="A499" s="34"/>
      <c r="B499" s="30"/>
      <c r="C499" s="30"/>
      <c r="D499" s="30"/>
      <c r="E499" s="16" t="str">
        <f aca="false">IF(B499="","",IFERROR(INDEX(Produtos!$C$5:$C$44,MATCH(B499,Produtos!$A$5:$A$44,0)),0))</f>
        <v/>
      </c>
      <c r="F499" s="16" t="str">
        <f aca="false">IF(B499="","",C499*E499)</f>
        <v/>
      </c>
      <c r="G499" s="16" t="str">
        <f aca="false">IF(B499="","",C499*IFERROR(INDEX(Produtos!$D$5:$D$44,MATCH(B499,Produtos!$A$5:$A$44,0)),0))</f>
        <v/>
      </c>
      <c r="H499" s="16" t="str">
        <f aca="false">IF(B499="","",F499*IFERROR(INDEX(Despesas!$B$5:$B$8,MATCH(D499,Despesas!$A$5:$A$8,0)),0))</f>
        <v/>
      </c>
      <c r="I499" s="16" t="str">
        <f aca="false">IF(B499="","",F499-G499-H499)</f>
        <v/>
      </c>
    </row>
    <row r="500" customFormat="false" ht="15" hidden="false" customHeight="false" outlineLevel="0" collapsed="false">
      <c r="A500" s="34"/>
      <c r="B500" s="30"/>
      <c r="C500" s="30"/>
      <c r="D500" s="30"/>
      <c r="E500" s="16" t="str">
        <f aca="false">IF(B500="","",IFERROR(INDEX(Produtos!$C$5:$C$44,MATCH(B500,Produtos!$A$5:$A$44,0)),0))</f>
        <v/>
      </c>
      <c r="F500" s="16" t="str">
        <f aca="false">IF(B500="","",C500*E500)</f>
        <v/>
      </c>
      <c r="G500" s="16" t="str">
        <f aca="false">IF(B500="","",C500*IFERROR(INDEX(Produtos!$D$5:$D$44,MATCH(B500,Produtos!$A$5:$A$44,0)),0))</f>
        <v/>
      </c>
      <c r="H500" s="16" t="str">
        <f aca="false">IF(B500="","",F500*IFERROR(INDEX(Despesas!$B$5:$B$8,MATCH(D500,Despesas!$A$5:$A$8,0)),0))</f>
        <v/>
      </c>
      <c r="I500" s="16" t="str">
        <f aca="false">IF(B500="","",F500-G500-H500)</f>
        <v/>
      </c>
    </row>
    <row r="501" customFormat="false" ht="15" hidden="false" customHeight="false" outlineLevel="0" collapsed="false">
      <c r="A501" s="34"/>
      <c r="B501" s="30"/>
      <c r="C501" s="30"/>
      <c r="D501" s="30"/>
      <c r="E501" s="16" t="str">
        <f aca="false">IF(B501="","",IFERROR(INDEX(Produtos!$C$5:$C$44,MATCH(B501,Produtos!$A$5:$A$44,0)),0))</f>
        <v/>
      </c>
      <c r="F501" s="16" t="str">
        <f aca="false">IF(B501="","",C501*E501)</f>
        <v/>
      </c>
      <c r="G501" s="16" t="str">
        <f aca="false">IF(B501="","",C501*IFERROR(INDEX(Produtos!$D$5:$D$44,MATCH(B501,Produtos!$A$5:$A$44,0)),0))</f>
        <v/>
      </c>
      <c r="H501" s="16" t="str">
        <f aca="false">IF(B501="","",F501*IFERROR(INDEX(Despesas!$B$5:$B$8,MATCH(D501,Despesas!$A$5:$A$8,0)),0))</f>
        <v/>
      </c>
      <c r="I501" s="16" t="str">
        <f aca="false">IF(B501="","",F501-G501-H501)</f>
        <v/>
      </c>
    </row>
    <row r="502" customFormat="false" ht="15" hidden="false" customHeight="false" outlineLevel="0" collapsed="false">
      <c r="A502" s="34"/>
      <c r="B502" s="30"/>
      <c r="C502" s="30"/>
      <c r="D502" s="30"/>
      <c r="E502" s="16" t="str">
        <f aca="false">IF(B502="","",IFERROR(INDEX(Produtos!$C$5:$C$44,MATCH(B502,Produtos!$A$5:$A$44,0)),0))</f>
        <v/>
      </c>
      <c r="F502" s="16" t="str">
        <f aca="false">IF(B502="","",C502*E502)</f>
        <v/>
      </c>
      <c r="G502" s="16" t="str">
        <f aca="false">IF(B502="","",C502*IFERROR(INDEX(Produtos!$D$5:$D$44,MATCH(B502,Produtos!$A$5:$A$44,0)),0))</f>
        <v/>
      </c>
      <c r="H502" s="16" t="str">
        <f aca="false">IF(B502="","",F502*IFERROR(INDEX(Despesas!$B$5:$B$8,MATCH(D502,Despesas!$A$5:$A$8,0)),0))</f>
        <v/>
      </c>
      <c r="I502" s="16" t="str">
        <f aca="false">IF(B502="","",F502-G502-H502)</f>
        <v/>
      </c>
    </row>
    <row r="503" customFormat="false" ht="15" hidden="false" customHeight="false" outlineLevel="0" collapsed="false">
      <c r="A503" s="34"/>
      <c r="B503" s="30"/>
      <c r="C503" s="30"/>
      <c r="D503" s="30"/>
      <c r="E503" s="16" t="str">
        <f aca="false">IF(B503="","",IFERROR(INDEX(Produtos!$C$5:$C$44,MATCH(B503,Produtos!$A$5:$A$44,0)),0))</f>
        <v/>
      </c>
      <c r="F503" s="16" t="str">
        <f aca="false">IF(B503="","",C503*E503)</f>
        <v/>
      </c>
      <c r="G503" s="16" t="str">
        <f aca="false">IF(B503="","",C503*IFERROR(INDEX(Produtos!$D$5:$D$44,MATCH(B503,Produtos!$A$5:$A$44,0)),0))</f>
        <v/>
      </c>
      <c r="H503" s="16" t="str">
        <f aca="false">IF(B503="","",F503*IFERROR(INDEX(Despesas!$B$5:$B$8,MATCH(D503,Despesas!$A$5:$A$8,0)),0))</f>
        <v/>
      </c>
      <c r="I503" s="16" t="str">
        <f aca="false">IF(B503="","",F503-G503-H503)</f>
        <v/>
      </c>
    </row>
    <row r="504" customFormat="false" ht="15" hidden="false" customHeight="false" outlineLevel="0" collapsed="false">
      <c r="A504" s="34"/>
      <c r="B504" s="30"/>
      <c r="C504" s="30"/>
      <c r="D504" s="30"/>
      <c r="E504" s="16" t="str">
        <f aca="false">IF(B504="","",IFERROR(INDEX(Produtos!$C$5:$C$44,MATCH(B504,Produtos!$A$5:$A$44,0)),0))</f>
        <v/>
      </c>
      <c r="F504" s="16" t="str">
        <f aca="false">IF(B504="","",C504*E504)</f>
        <v/>
      </c>
      <c r="G504" s="16" t="str">
        <f aca="false">IF(B504="","",C504*IFERROR(INDEX(Produtos!$D$5:$D$44,MATCH(B504,Produtos!$A$5:$A$44,0)),0))</f>
        <v/>
      </c>
      <c r="H504" s="16" t="str">
        <f aca="false">IF(B504="","",F504*IFERROR(INDEX(Despesas!$B$5:$B$8,MATCH(D504,Despesas!$A$5:$A$8,0)),0))</f>
        <v/>
      </c>
      <c r="I504" s="16" t="str">
        <f aca="false">IF(B504="","",F504-G504-H504)</f>
        <v/>
      </c>
    </row>
    <row r="505" customFormat="false" ht="15" hidden="false" customHeight="false" outlineLevel="0" collapsed="false">
      <c r="A505" s="34"/>
      <c r="B505" s="30"/>
      <c r="C505" s="30"/>
      <c r="D505" s="30"/>
      <c r="E505" s="16" t="str">
        <f aca="false">IF(B505="","",IFERROR(INDEX(Produtos!$C$5:$C$44,MATCH(B505,Produtos!$A$5:$A$44,0)),0))</f>
        <v/>
      </c>
      <c r="F505" s="16" t="str">
        <f aca="false">IF(B505="","",C505*E505)</f>
        <v/>
      </c>
      <c r="G505" s="16" t="str">
        <f aca="false">IF(B505="","",C505*IFERROR(INDEX(Produtos!$D$5:$D$44,MATCH(B505,Produtos!$A$5:$A$44,0)),0))</f>
        <v/>
      </c>
      <c r="H505" s="16" t="str">
        <f aca="false">IF(B505="","",F505*IFERROR(INDEX(Despesas!$B$5:$B$8,MATCH(D505,Despesas!$A$5:$A$8,0)),0))</f>
        <v/>
      </c>
      <c r="I505" s="16" t="str">
        <f aca="false">IF(B505="","",F505-G505-H505)</f>
        <v/>
      </c>
    </row>
    <row r="506" customFormat="false" ht="15" hidden="false" customHeight="false" outlineLevel="0" collapsed="false">
      <c r="A506" s="34"/>
      <c r="B506" s="30"/>
      <c r="C506" s="30"/>
      <c r="D506" s="30"/>
      <c r="E506" s="16" t="str">
        <f aca="false">IF(B506="","",IFERROR(INDEX(Produtos!$C$5:$C$44,MATCH(B506,Produtos!$A$5:$A$44,0)),0))</f>
        <v/>
      </c>
      <c r="F506" s="16" t="str">
        <f aca="false">IF(B506="","",C506*E506)</f>
        <v/>
      </c>
      <c r="G506" s="16" t="str">
        <f aca="false">IF(B506="","",C506*IFERROR(INDEX(Produtos!$D$5:$D$44,MATCH(B506,Produtos!$A$5:$A$44,0)),0))</f>
        <v/>
      </c>
      <c r="H506" s="16" t="str">
        <f aca="false">IF(B506="","",F506*IFERROR(INDEX(Despesas!$B$5:$B$8,MATCH(D506,Despesas!$A$5:$A$8,0)),0))</f>
        <v/>
      </c>
      <c r="I506" s="16" t="str">
        <f aca="false">IF(B506="","",F506-G506-H506)</f>
        <v/>
      </c>
    </row>
    <row r="507" customFormat="false" ht="15" hidden="false" customHeight="false" outlineLevel="0" collapsed="false">
      <c r="A507" s="34"/>
      <c r="B507" s="30"/>
      <c r="C507" s="30"/>
      <c r="D507" s="30"/>
      <c r="E507" s="16" t="str">
        <f aca="false">IF(B507="","",IFERROR(INDEX(Produtos!$C$5:$C$44,MATCH(B507,Produtos!$A$5:$A$44,0)),0))</f>
        <v/>
      </c>
      <c r="F507" s="16" t="str">
        <f aca="false">IF(B507="","",C507*E507)</f>
        <v/>
      </c>
      <c r="G507" s="16" t="str">
        <f aca="false">IF(B507="","",C507*IFERROR(INDEX(Produtos!$D$5:$D$44,MATCH(B507,Produtos!$A$5:$A$44,0)),0))</f>
        <v/>
      </c>
      <c r="H507" s="16" t="str">
        <f aca="false">IF(B507="","",F507*IFERROR(INDEX(Despesas!$B$5:$B$8,MATCH(D507,Despesas!$A$5:$A$8,0)),0))</f>
        <v/>
      </c>
      <c r="I507" s="16" t="str">
        <f aca="false">IF(B507="","",F507-G507-H507)</f>
        <v/>
      </c>
    </row>
    <row r="508" customFormat="false" ht="15" hidden="false" customHeight="false" outlineLevel="0" collapsed="false">
      <c r="A508" s="34"/>
      <c r="B508" s="30"/>
      <c r="C508" s="30"/>
      <c r="D508" s="30"/>
      <c r="E508" s="16" t="str">
        <f aca="false">IF(B508="","",IFERROR(INDEX(Produtos!$C$5:$C$44,MATCH(B508,Produtos!$A$5:$A$44,0)),0))</f>
        <v/>
      </c>
      <c r="F508" s="16" t="str">
        <f aca="false">IF(B508="","",C508*E508)</f>
        <v/>
      </c>
      <c r="G508" s="16" t="str">
        <f aca="false">IF(B508="","",C508*IFERROR(INDEX(Produtos!$D$5:$D$44,MATCH(B508,Produtos!$A$5:$A$44,0)),0))</f>
        <v/>
      </c>
      <c r="H508" s="16" t="str">
        <f aca="false">IF(B508="","",F508*IFERROR(INDEX(Despesas!$B$5:$B$8,MATCH(D508,Despesas!$A$5:$A$8,0)),0))</f>
        <v/>
      </c>
      <c r="I508" s="16" t="str">
        <f aca="false">IF(B508="","",F508-G508-H508)</f>
        <v/>
      </c>
    </row>
    <row r="509" customFormat="false" ht="15" hidden="false" customHeight="false" outlineLevel="0" collapsed="false">
      <c r="A509" s="34"/>
      <c r="B509" s="30"/>
      <c r="C509" s="30"/>
      <c r="D509" s="30"/>
      <c r="E509" s="16" t="str">
        <f aca="false">IF(B509="","",IFERROR(INDEX(Produtos!$C$5:$C$44,MATCH(B509,Produtos!$A$5:$A$44,0)),0))</f>
        <v/>
      </c>
      <c r="F509" s="16" t="str">
        <f aca="false">IF(B509="","",C509*E509)</f>
        <v/>
      </c>
      <c r="G509" s="16" t="str">
        <f aca="false">IF(B509="","",C509*IFERROR(INDEX(Produtos!$D$5:$D$44,MATCH(B509,Produtos!$A$5:$A$44,0)),0))</f>
        <v/>
      </c>
      <c r="H509" s="16" t="str">
        <f aca="false">IF(B509="","",F509*IFERROR(INDEX(Despesas!$B$5:$B$8,MATCH(D509,Despesas!$A$5:$A$8,0)),0))</f>
        <v/>
      </c>
      <c r="I509" s="16" t="str">
        <f aca="false">IF(B509="","",F509-G509-H509)</f>
        <v/>
      </c>
    </row>
    <row r="510" customFormat="false" ht="15" hidden="false" customHeight="false" outlineLevel="0" collapsed="false">
      <c r="A510" s="34"/>
      <c r="B510" s="30"/>
      <c r="C510" s="30"/>
      <c r="D510" s="30"/>
      <c r="E510" s="16" t="str">
        <f aca="false">IF(B510="","",IFERROR(INDEX(Produtos!$C$5:$C$44,MATCH(B510,Produtos!$A$5:$A$44,0)),0))</f>
        <v/>
      </c>
      <c r="F510" s="16" t="str">
        <f aca="false">IF(B510="","",C510*E510)</f>
        <v/>
      </c>
      <c r="G510" s="16" t="str">
        <f aca="false">IF(B510="","",C510*IFERROR(INDEX(Produtos!$D$5:$D$44,MATCH(B510,Produtos!$A$5:$A$44,0)),0))</f>
        <v/>
      </c>
      <c r="H510" s="16" t="str">
        <f aca="false">IF(B510="","",F510*IFERROR(INDEX(Despesas!$B$5:$B$8,MATCH(D510,Despesas!$A$5:$A$8,0)),0))</f>
        <v/>
      </c>
      <c r="I510" s="16" t="str">
        <f aca="false">IF(B510="","",F510-G510-H510)</f>
        <v/>
      </c>
    </row>
    <row r="511" customFormat="false" ht="15" hidden="false" customHeight="false" outlineLevel="0" collapsed="false">
      <c r="A511" s="34"/>
      <c r="B511" s="30"/>
      <c r="C511" s="30"/>
      <c r="D511" s="30"/>
      <c r="E511" s="16" t="str">
        <f aca="false">IF(B511="","",IFERROR(INDEX(Produtos!$C$5:$C$44,MATCH(B511,Produtos!$A$5:$A$44,0)),0))</f>
        <v/>
      </c>
      <c r="F511" s="16" t="str">
        <f aca="false">IF(B511="","",C511*E511)</f>
        <v/>
      </c>
      <c r="G511" s="16" t="str">
        <f aca="false">IF(B511="","",C511*IFERROR(INDEX(Produtos!$D$5:$D$44,MATCH(B511,Produtos!$A$5:$A$44,0)),0))</f>
        <v/>
      </c>
      <c r="H511" s="16" t="str">
        <f aca="false">IF(B511="","",F511*IFERROR(INDEX(Despesas!$B$5:$B$8,MATCH(D511,Despesas!$A$5:$A$8,0)),0))</f>
        <v/>
      </c>
      <c r="I511" s="16" t="str">
        <f aca="false">IF(B511="","",F511-G511-H511)</f>
        <v/>
      </c>
    </row>
    <row r="512" customFormat="false" ht="15" hidden="false" customHeight="false" outlineLevel="0" collapsed="false">
      <c r="A512" s="34"/>
      <c r="B512" s="30"/>
      <c r="C512" s="30"/>
      <c r="D512" s="30"/>
      <c r="E512" s="16" t="str">
        <f aca="false">IF(B512="","",IFERROR(INDEX(Produtos!$C$5:$C$44,MATCH(B512,Produtos!$A$5:$A$44,0)),0))</f>
        <v/>
      </c>
      <c r="F512" s="16" t="str">
        <f aca="false">IF(B512="","",C512*E512)</f>
        <v/>
      </c>
      <c r="G512" s="16" t="str">
        <f aca="false">IF(B512="","",C512*IFERROR(INDEX(Produtos!$D$5:$D$44,MATCH(B512,Produtos!$A$5:$A$44,0)),0))</f>
        <v/>
      </c>
      <c r="H512" s="16" t="str">
        <f aca="false">IF(B512="","",F512*IFERROR(INDEX(Despesas!$B$5:$B$8,MATCH(D512,Despesas!$A$5:$A$8,0)),0))</f>
        <v/>
      </c>
      <c r="I512" s="16" t="str">
        <f aca="false">IF(B512="","",F512-G512-H512)</f>
        <v/>
      </c>
    </row>
    <row r="513" customFormat="false" ht="15" hidden="false" customHeight="false" outlineLevel="0" collapsed="false">
      <c r="A513" s="34"/>
      <c r="B513" s="30"/>
      <c r="C513" s="30"/>
      <c r="D513" s="30"/>
      <c r="E513" s="16" t="str">
        <f aca="false">IF(B513="","",IFERROR(INDEX(Produtos!$C$5:$C$44,MATCH(B513,Produtos!$A$5:$A$44,0)),0))</f>
        <v/>
      </c>
      <c r="F513" s="16" t="str">
        <f aca="false">IF(B513="","",C513*E513)</f>
        <v/>
      </c>
      <c r="G513" s="16" t="str">
        <f aca="false">IF(B513="","",C513*IFERROR(INDEX(Produtos!$D$5:$D$44,MATCH(B513,Produtos!$A$5:$A$44,0)),0))</f>
        <v/>
      </c>
      <c r="H513" s="16" t="str">
        <f aca="false">IF(B513="","",F513*IFERROR(INDEX(Despesas!$B$5:$B$8,MATCH(D513,Despesas!$A$5:$A$8,0)),0))</f>
        <v/>
      </c>
      <c r="I513" s="16" t="str">
        <f aca="false">IF(B513="","",F513-G513-H513)</f>
        <v/>
      </c>
    </row>
    <row r="514" customFormat="false" ht="15" hidden="false" customHeight="false" outlineLevel="0" collapsed="false">
      <c r="A514" s="34"/>
      <c r="B514" s="30"/>
      <c r="C514" s="30"/>
      <c r="D514" s="30"/>
      <c r="E514" s="16" t="str">
        <f aca="false">IF(B514="","",IFERROR(INDEX(Produtos!$C$5:$C$44,MATCH(B514,Produtos!$A$5:$A$44,0)),0))</f>
        <v/>
      </c>
      <c r="F514" s="16" t="str">
        <f aca="false">IF(B514="","",C514*E514)</f>
        <v/>
      </c>
      <c r="G514" s="16" t="str">
        <f aca="false">IF(B514="","",C514*IFERROR(INDEX(Produtos!$D$5:$D$44,MATCH(B514,Produtos!$A$5:$A$44,0)),0))</f>
        <v/>
      </c>
      <c r="H514" s="16" t="str">
        <f aca="false">IF(B514="","",F514*IFERROR(INDEX(Despesas!$B$5:$B$8,MATCH(D514,Despesas!$A$5:$A$8,0)),0))</f>
        <v/>
      </c>
      <c r="I514" s="16" t="str">
        <f aca="false">IF(B514="","",F514-G514-H514)</f>
        <v/>
      </c>
    </row>
    <row r="515" customFormat="false" ht="15" hidden="false" customHeight="false" outlineLevel="0" collapsed="false">
      <c r="A515" s="34"/>
      <c r="B515" s="30"/>
      <c r="C515" s="30"/>
      <c r="D515" s="30"/>
      <c r="E515" s="16" t="str">
        <f aca="false">IF(B515="","",IFERROR(INDEX(Produtos!$C$5:$C$44,MATCH(B515,Produtos!$A$5:$A$44,0)),0))</f>
        <v/>
      </c>
      <c r="F515" s="16" t="str">
        <f aca="false">IF(B515="","",C515*E515)</f>
        <v/>
      </c>
      <c r="G515" s="16" t="str">
        <f aca="false">IF(B515="","",C515*IFERROR(INDEX(Produtos!$D$5:$D$44,MATCH(B515,Produtos!$A$5:$A$44,0)),0))</f>
        <v/>
      </c>
      <c r="H515" s="16" t="str">
        <f aca="false">IF(B515="","",F515*IFERROR(INDEX(Despesas!$B$5:$B$8,MATCH(D515,Despesas!$A$5:$A$8,0)),0))</f>
        <v/>
      </c>
      <c r="I515" s="16" t="str">
        <f aca="false">IF(B515="","",F515-G515-H515)</f>
        <v/>
      </c>
    </row>
    <row r="516" customFormat="false" ht="15" hidden="false" customHeight="false" outlineLevel="0" collapsed="false">
      <c r="A516" s="34"/>
      <c r="B516" s="30"/>
      <c r="C516" s="30"/>
      <c r="D516" s="30"/>
      <c r="E516" s="16" t="str">
        <f aca="false">IF(B516="","",IFERROR(INDEX(Produtos!$C$5:$C$44,MATCH(B516,Produtos!$A$5:$A$44,0)),0))</f>
        <v/>
      </c>
      <c r="F516" s="16" t="str">
        <f aca="false">IF(B516="","",C516*E516)</f>
        <v/>
      </c>
      <c r="G516" s="16" t="str">
        <f aca="false">IF(B516="","",C516*IFERROR(INDEX(Produtos!$D$5:$D$44,MATCH(B516,Produtos!$A$5:$A$44,0)),0))</f>
        <v/>
      </c>
      <c r="H516" s="16" t="str">
        <f aca="false">IF(B516="","",F516*IFERROR(INDEX(Despesas!$B$5:$B$8,MATCH(D516,Despesas!$A$5:$A$8,0)),0))</f>
        <v/>
      </c>
      <c r="I516" s="16" t="str">
        <f aca="false">IF(B516="","",F516-G516-H516)</f>
        <v/>
      </c>
    </row>
    <row r="517" customFormat="false" ht="15" hidden="false" customHeight="false" outlineLevel="0" collapsed="false">
      <c r="A517" s="34"/>
      <c r="B517" s="30"/>
      <c r="C517" s="30"/>
      <c r="D517" s="30"/>
      <c r="E517" s="16" t="str">
        <f aca="false">IF(B517="","",IFERROR(INDEX(Produtos!$C$5:$C$44,MATCH(B517,Produtos!$A$5:$A$44,0)),0))</f>
        <v/>
      </c>
      <c r="F517" s="16" t="str">
        <f aca="false">IF(B517="","",C517*E517)</f>
        <v/>
      </c>
      <c r="G517" s="16" t="str">
        <f aca="false">IF(B517="","",C517*IFERROR(INDEX(Produtos!$D$5:$D$44,MATCH(B517,Produtos!$A$5:$A$44,0)),0))</f>
        <v/>
      </c>
      <c r="H517" s="16" t="str">
        <f aca="false">IF(B517="","",F517*IFERROR(INDEX(Despesas!$B$5:$B$8,MATCH(D517,Despesas!$A$5:$A$8,0)),0))</f>
        <v/>
      </c>
      <c r="I517" s="16" t="str">
        <f aca="false">IF(B517="","",F517-G517-H517)</f>
        <v/>
      </c>
    </row>
    <row r="518" customFormat="false" ht="15" hidden="false" customHeight="false" outlineLevel="0" collapsed="false">
      <c r="A518" s="34"/>
      <c r="B518" s="30"/>
      <c r="C518" s="30"/>
      <c r="D518" s="30"/>
      <c r="E518" s="16" t="str">
        <f aca="false">IF(B518="","",IFERROR(INDEX(Produtos!$C$5:$C$44,MATCH(B518,Produtos!$A$5:$A$44,0)),0))</f>
        <v/>
      </c>
      <c r="F518" s="16" t="str">
        <f aca="false">IF(B518="","",C518*E518)</f>
        <v/>
      </c>
      <c r="G518" s="16" t="str">
        <f aca="false">IF(B518="","",C518*IFERROR(INDEX(Produtos!$D$5:$D$44,MATCH(B518,Produtos!$A$5:$A$44,0)),0))</f>
        <v/>
      </c>
      <c r="H518" s="16" t="str">
        <f aca="false">IF(B518="","",F518*IFERROR(INDEX(Despesas!$B$5:$B$8,MATCH(D518,Despesas!$A$5:$A$8,0)),0))</f>
        <v/>
      </c>
      <c r="I518" s="16" t="str">
        <f aca="false">IF(B518="","",F518-G518-H518)</f>
        <v/>
      </c>
    </row>
    <row r="519" customFormat="false" ht="15" hidden="false" customHeight="false" outlineLevel="0" collapsed="false">
      <c r="A519" s="34"/>
      <c r="B519" s="30"/>
      <c r="C519" s="30"/>
      <c r="D519" s="30"/>
      <c r="E519" s="16" t="str">
        <f aca="false">IF(B519="","",IFERROR(INDEX(Produtos!$C$5:$C$44,MATCH(B519,Produtos!$A$5:$A$44,0)),0))</f>
        <v/>
      </c>
      <c r="F519" s="16" t="str">
        <f aca="false">IF(B519="","",C519*E519)</f>
        <v/>
      </c>
      <c r="G519" s="16" t="str">
        <f aca="false">IF(B519="","",C519*IFERROR(INDEX(Produtos!$D$5:$D$44,MATCH(B519,Produtos!$A$5:$A$44,0)),0))</f>
        <v/>
      </c>
      <c r="H519" s="16" t="str">
        <f aca="false">IF(B519="","",F519*IFERROR(INDEX(Despesas!$B$5:$B$8,MATCH(D519,Despesas!$A$5:$A$8,0)),0))</f>
        <v/>
      </c>
      <c r="I519" s="16" t="str">
        <f aca="false">IF(B519="","",F519-G519-H519)</f>
        <v/>
      </c>
    </row>
    <row r="520" customFormat="false" ht="15" hidden="false" customHeight="false" outlineLevel="0" collapsed="false">
      <c r="A520" s="34"/>
      <c r="B520" s="30"/>
      <c r="C520" s="30"/>
      <c r="D520" s="30"/>
      <c r="E520" s="16" t="str">
        <f aca="false">IF(B520="","",IFERROR(INDEX(Produtos!$C$5:$C$44,MATCH(B520,Produtos!$A$5:$A$44,0)),0))</f>
        <v/>
      </c>
      <c r="F520" s="16" t="str">
        <f aca="false">IF(B520="","",C520*E520)</f>
        <v/>
      </c>
      <c r="G520" s="16" t="str">
        <f aca="false">IF(B520="","",C520*IFERROR(INDEX(Produtos!$D$5:$D$44,MATCH(B520,Produtos!$A$5:$A$44,0)),0))</f>
        <v/>
      </c>
      <c r="H520" s="16" t="str">
        <f aca="false">IF(B520="","",F520*IFERROR(INDEX(Despesas!$B$5:$B$8,MATCH(D520,Despesas!$A$5:$A$8,0)),0))</f>
        <v/>
      </c>
      <c r="I520" s="16" t="str">
        <f aca="false">IF(B520="","",F520-G520-H520)</f>
        <v/>
      </c>
    </row>
    <row r="521" customFormat="false" ht="15" hidden="false" customHeight="false" outlineLevel="0" collapsed="false">
      <c r="A521" s="34"/>
      <c r="B521" s="30"/>
      <c r="C521" s="30"/>
      <c r="D521" s="30"/>
      <c r="E521" s="16" t="str">
        <f aca="false">IF(B521="","",IFERROR(INDEX(Produtos!$C$5:$C$44,MATCH(B521,Produtos!$A$5:$A$44,0)),0))</f>
        <v/>
      </c>
      <c r="F521" s="16" t="str">
        <f aca="false">IF(B521="","",C521*E521)</f>
        <v/>
      </c>
      <c r="G521" s="16" t="str">
        <f aca="false">IF(B521="","",C521*IFERROR(INDEX(Produtos!$D$5:$D$44,MATCH(B521,Produtos!$A$5:$A$44,0)),0))</f>
        <v/>
      </c>
      <c r="H521" s="16" t="str">
        <f aca="false">IF(B521="","",F521*IFERROR(INDEX(Despesas!$B$5:$B$8,MATCH(D521,Despesas!$A$5:$A$8,0)),0))</f>
        <v/>
      </c>
      <c r="I521" s="16" t="str">
        <f aca="false">IF(B521="","",F521-G521-H521)</f>
        <v/>
      </c>
    </row>
    <row r="522" customFormat="false" ht="15" hidden="false" customHeight="false" outlineLevel="0" collapsed="false">
      <c r="A522" s="34"/>
      <c r="B522" s="30"/>
      <c r="C522" s="30"/>
      <c r="D522" s="30"/>
      <c r="E522" s="16" t="str">
        <f aca="false">IF(B522="","",IFERROR(INDEX(Produtos!$C$5:$C$44,MATCH(B522,Produtos!$A$5:$A$44,0)),0))</f>
        <v/>
      </c>
      <c r="F522" s="16" t="str">
        <f aca="false">IF(B522="","",C522*E522)</f>
        <v/>
      </c>
      <c r="G522" s="16" t="str">
        <f aca="false">IF(B522="","",C522*IFERROR(INDEX(Produtos!$D$5:$D$44,MATCH(B522,Produtos!$A$5:$A$44,0)),0))</f>
        <v/>
      </c>
      <c r="H522" s="16" t="str">
        <f aca="false">IF(B522="","",F522*IFERROR(INDEX(Despesas!$B$5:$B$8,MATCH(D522,Despesas!$A$5:$A$8,0)),0))</f>
        <v/>
      </c>
      <c r="I522" s="16" t="str">
        <f aca="false">IF(B522="","",F522-G522-H522)</f>
        <v/>
      </c>
    </row>
    <row r="523" customFormat="false" ht="15" hidden="false" customHeight="false" outlineLevel="0" collapsed="false">
      <c r="A523" s="34"/>
      <c r="B523" s="30"/>
      <c r="C523" s="30"/>
      <c r="D523" s="30"/>
      <c r="E523" s="16" t="str">
        <f aca="false">IF(B523="","",IFERROR(INDEX(Produtos!$C$5:$C$44,MATCH(B523,Produtos!$A$5:$A$44,0)),0))</f>
        <v/>
      </c>
      <c r="F523" s="16" t="str">
        <f aca="false">IF(B523="","",C523*E523)</f>
        <v/>
      </c>
      <c r="G523" s="16" t="str">
        <f aca="false">IF(B523="","",C523*IFERROR(INDEX(Produtos!$D$5:$D$44,MATCH(B523,Produtos!$A$5:$A$44,0)),0))</f>
        <v/>
      </c>
      <c r="H523" s="16" t="str">
        <f aca="false">IF(B523="","",F523*IFERROR(INDEX(Despesas!$B$5:$B$8,MATCH(D523,Despesas!$A$5:$A$8,0)),0))</f>
        <v/>
      </c>
      <c r="I523" s="16" t="str">
        <f aca="false">IF(B523="","",F523-G523-H523)</f>
        <v/>
      </c>
    </row>
    <row r="524" customFormat="false" ht="15" hidden="false" customHeight="false" outlineLevel="0" collapsed="false">
      <c r="A524" s="34"/>
      <c r="B524" s="30"/>
      <c r="C524" s="30"/>
      <c r="D524" s="30"/>
      <c r="E524" s="16" t="str">
        <f aca="false">IF(B524="","",IFERROR(INDEX(Produtos!$C$5:$C$44,MATCH(B524,Produtos!$A$5:$A$44,0)),0))</f>
        <v/>
      </c>
      <c r="F524" s="16" t="str">
        <f aca="false">IF(B524="","",C524*E524)</f>
        <v/>
      </c>
      <c r="G524" s="16" t="str">
        <f aca="false">IF(B524="","",C524*IFERROR(INDEX(Produtos!$D$5:$D$44,MATCH(B524,Produtos!$A$5:$A$44,0)),0))</f>
        <v/>
      </c>
      <c r="H524" s="16" t="str">
        <f aca="false">IF(B524="","",F524*IFERROR(INDEX(Despesas!$B$5:$B$8,MATCH(D524,Despesas!$A$5:$A$8,0)),0))</f>
        <v/>
      </c>
      <c r="I524" s="16" t="str">
        <f aca="false">IF(B524="","",F524-G524-H524)</f>
        <v/>
      </c>
    </row>
    <row r="525" customFormat="false" ht="15" hidden="false" customHeight="false" outlineLevel="0" collapsed="false">
      <c r="A525" s="34"/>
      <c r="B525" s="30"/>
      <c r="C525" s="30"/>
      <c r="D525" s="30"/>
      <c r="E525" s="16" t="str">
        <f aca="false">IF(B525="","",IFERROR(INDEX(Produtos!$C$5:$C$44,MATCH(B525,Produtos!$A$5:$A$44,0)),0))</f>
        <v/>
      </c>
      <c r="F525" s="16" t="str">
        <f aca="false">IF(B525="","",C525*E525)</f>
        <v/>
      </c>
      <c r="G525" s="16" t="str">
        <f aca="false">IF(B525="","",C525*IFERROR(INDEX(Produtos!$D$5:$D$44,MATCH(B525,Produtos!$A$5:$A$44,0)),0))</f>
        <v/>
      </c>
      <c r="H525" s="16" t="str">
        <f aca="false">IF(B525="","",F525*IFERROR(INDEX(Despesas!$B$5:$B$8,MATCH(D525,Despesas!$A$5:$A$8,0)),0))</f>
        <v/>
      </c>
      <c r="I525" s="16" t="str">
        <f aca="false">IF(B525="","",F525-G525-H525)</f>
        <v/>
      </c>
    </row>
    <row r="526" customFormat="false" ht="15" hidden="false" customHeight="false" outlineLevel="0" collapsed="false">
      <c r="A526" s="34"/>
      <c r="B526" s="30"/>
      <c r="C526" s="30"/>
      <c r="D526" s="30"/>
      <c r="E526" s="16" t="str">
        <f aca="false">IF(B526="","",IFERROR(INDEX(Produtos!$C$5:$C$44,MATCH(B526,Produtos!$A$5:$A$44,0)),0))</f>
        <v/>
      </c>
      <c r="F526" s="16" t="str">
        <f aca="false">IF(B526="","",C526*E526)</f>
        <v/>
      </c>
      <c r="G526" s="16" t="str">
        <f aca="false">IF(B526="","",C526*IFERROR(INDEX(Produtos!$D$5:$D$44,MATCH(B526,Produtos!$A$5:$A$44,0)),0))</f>
        <v/>
      </c>
      <c r="H526" s="16" t="str">
        <f aca="false">IF(B526="","",F526*IFERROR(INDEX(Despesas!$B$5:$B$8,MATCH(D526,Despesas!$A$5:$A$8,0)),0))</f>
        <v/>
      </c>
      <c r="I526" s="16" t="str">
        <f aca="false">IF(B526="","",F526-G526-H526)</f>
        <v/>
      </c>
    </row>
    <row r="527" customFormat="false" ht="15" hidden="false" customHeight="false" outlineLevel="0" collapsed="false">
      <c r="A527" s="34"/>
      <c r="B527" s="30"/>
      <c r="C527" s="30"/>
      <c r="D527" s="30"/>
      <c r="E527" s="16" t="str">
        <f aca="false">IF(B527="","",IFERROR(INDEX(Produtos!$C$5:$C$44,MATCH(B527,Produtos!$A$5:$A$44,0)),0))</f>
        <v/>
      </c>
      <c r="F527" s="16" t="str">
        <f aca="false">IF(B527="","",C527*E527)</f>
        <v/>
      </c>
      <c r="G527" s="16" t="str">
        <f aca="false">IF(B527="","",C527*IFERROR(INDEX(Produtos!$D$5:$D$44,MATCH(B527,Produtos!$A$5:$A$44,0)),0))</f>
        <v/>
      </c>
      <c r="H527" s="16" t="str">
        <f aca="false">IF(B527="","",F527*IFERROR(INDEX(Despesas!$B$5:$B$8,MATCH(D527,Despesas!$A$5:$A$8,0)),0))</f>
        <v/>
      </c>
      <c r="I527" s="16" t="str">
        <f aca="false">IF(B527="","",F527-G527-H527)</f>
        <v/>
      </c>
    </row>
    <row r="528" customFormat="false" ht="15" hidden="false" customHeight="false" outlineLevel="0" collapsed="false">
      <c r="A528" s="34"/>
      <c r="B528" s="30"/>
      <c r="C528" s="30"/>
      <c r="D528" s="30"/>
      <c r="E528" s="16" t="str">
        <f aca="false">IF(B528="","",IFERROR(INDEX(Produtos!$C$5:$C$44,MATCH(B528,Produtos!$A$5:$A$44,0)),0))</f>
        <v/>
      </c>
      <c r="F528" s="16" t="str">
        <f aca="false">IF(B528="","",C528*E528)</f>
        <v/>
      </c>
      <c r="G528" s="16" t="str">
        <f aca="false">IF(B528="","",C528*IFERROR(INDEX(Produtos!$D$5:$D$44,MATCH(B528,Produtos!$A$5:$A$44,0)),0))</f>
        <v/>
      </c>
      <c r="H528" s="16" t="str">
        <f aca="false">IF(B528="","",F528*IFERROR(INDEX(Despesas!$B$5:$B$8,MATCH(D528,Despesas!$A$5:$A$8,0)),0))</f>
        <v/>
      </c>
      <c r="I528" s="16" t="str">
        <f aca="false">IF(B528="","",F528-G528-H528)</f>
        <v/>
      </c>
    </row>
    <row r="529" customFormat="false" ht="15" hidden="false" customHeight="false" outlineLevel="0" collapsed="false">
      <c r="A529" s="34"/>
      <c r="B529" s="30"/>
      <c r="C529" s="30"/>
      <c r="D529" s="30"/>
      <c r="E529" s="16" t="str">
        <f aca="false">IF(B529="","",IFERROR(INDEX(Produtos!$C$5:$C$44,MATCH(B529,Produtos!$A$5:$A$44,0)),0))</f>
        <v/>
      </c>
      <c r="F529" s="16" t="str">
        <f aca="false">IF(B529="","",C529*E529)</f>
        <v/>
      </c>
      <c r="G529" s="16" t="str">
        <f aca="false">IF(B529="","",C529*IFERROR(INDEX(Produtos!$D$5:$D$44,MATCH(B529,Produtos!$A$5:$A$44,0)),0))</f>
        <v/>
      </c>
      <c r="H529" s="16" t="str">
        <f aca="false">IF(B529="","",F529*IFERROR(INDEX(Despesas!$B$5:$B$8,MATCH(D529,Despesas!$A$5:$A$8,0)),0))</f>
        <v/>
      </c>
      <c r="I529" s="16" t="str">
        <f aca="false">IF(B529="","",F529-G529-H529)</f>
        <v/>
      </c>
    </row>
    <row r="530" customFormat="false" ht="15" hidden="false" customHeight="false" outlineLevel="0" collapsed="false">
      <c r="A530" s="34"/>
      <c r="B530" s="30"/>
      <c r="C530" s="30"/>
      <c r="D530" s="30"/>
      <c r="E530" s="16" t="str">
        <f aca="false">IF(B530="","",IFERROR(INDEX(Produtos!$C$5:$C$44,MATCH(B530,Produtos!$A$5:$A$44,0)),0))</f>
        <v/>
      </c>
      <c r="F530" s="16" t="str">
        <f aca="false">IF(B530="","",C530*E530)</f>
        <v/>
      </c>
      <c r="G530" s="16" t="str">
        <f aca="false">IF(B530="","",C530*IFERROR(INDEX(Produtos!$D$5:$D$44,MATCH(B530,Produtos!$A$5:$A$44,0)),0))</f>
        <v/>
      </c>
      <c r="H530" s="16" t="str">
        <f aca="false">IF(B530="","",F530*IFERROR(INDEX(Despesas!$B$5:$B$8,MATCH(D530,Despesas!$A$5:$A$8,0)),0))</f>
        <v/>
      </c>
      <c r="I530" s="16" t="str">
        <f aca="false">IF(B530="","",F530-G530-H530)</f>
        <v/>
      </c>
    </row>
    <row r="531" customFormat="false" ht="15" hidden="false" customHeight="false" outlineLevel="0" collapsed="false">
      <c r="A531" s="34"/>
      <c r="B531" s="30"/>
      <c r="C531" s="30"/>
      <c r="D531" s="30"/>
      <c r="E531" s="16" t="str">
        <f aca="false">IF(B531="","",IFERROR(INDEX(Produtos!$C$5:$C$44,MATCH(B531,Produtos!$A$5:$A$44,0)),0))</f>
        <v/>
      </c>
      <c r="F531" s="16" t="str">
        <f aca="false">IF(B531="","",C531*E531)</f>
        <v/>
      </c>
      <c r="G531" s="16" t="str">
        <f aca="false">IF(B531="","",C531*IFERROR(INDEX(Produtos!$D$5:$D$44,MATCH(B531,Produtos!$A$5:$A$44,0)),0))</f>
        <v/>
      </c>
      <c r="H531" s="16" t="str">
        <f aca="false">IF(B531="","",F531*IFERROR(INDEX(Despesas!$B$5:$B$8,MATCH(D531,Despesas!$A$5:$A$8,0)),0))</f>
        <v/>
      </c>
      <c r="I531" s="16" t="str">
        <f aca="false">IF(B531="","",F531-G531-H531)</f>
        <v/>
      </c>
    </row>
    <row r="532" customFormat="false" ht="15" hidden="false" customHeight="false" outlineLevel="0" collapsed="false">
      <c r="A532" s="34"/>
      <c r="B532" s="30"/>
      <c r="C532" s="30"/>
      <c r="D532" s="30"/>
      <c r="E532" s="16" t="str">
        <f aca="false">IF(B532="","",IFERROR(INDEX(Produtos!$C$5:$C$44,MATCH(B532,Produtos!$A$5:$A$44,0)),0))</f>
        <v/>
      </c>
      <c r="F532" s="16" t="str">
        <f aca="false">IF(B532="","",C532*E532)</f>
        <v/>
      </c>
      <c r="G532" s="16" t="str">
        <f aca="false">IF(B532="","",C532*IFERROR(INDEX(Produtos!$D$5:$D$44,MATCH(B532,Produtos!$A$5:$A$44,0)),0))</f>
        <v/>
      </c>
      <c r="H532" s="16" t="str">
        <f aca="false">IF(B532="","",F532*IFERROR(INDEX(Despesas!$B$5:$B$8,MATCH(D532,Despesas!$A$5:$A$8,0)),0))</f>
        <v/>
      </c>
      <c r="I532" s="16" t="str">
        <f aca="false">IF(B532="","",F532-G532-H532)</f>
        <v/>
      </c>
    </row>
    <row r="533" customFormat="false" ht="15" hidden="false" customHeight="false" outlineLevel="0" collapsed="false">
      <c r="A533" s="34"/>
      <c r="B533" s="30"/>
      <c r="C533" s="30"/>
      <c r="D533" s="30"/>
      <c r="E533" s="16" t="str">
        <f aca="false">IF(B533="","",IFERROR(INDEX(Produtos!$C$5:$C$44,MATCH(B533,Produtos!$A$5:$A$44,0)),0))</f>
        <v/>
      </c>
      <c r="F533" s="16" t="str">
        <f aca="false">IF(B533="","",C533*E533)</f>
        <v/>
      </c>
      <c r="G533" s="16" t="str">
        <f aca="false">IF(B533="","",C533*IFERROR(INDEX(Produtos!$D$5:$D$44,MATCH(B533,Produtos!$A$5:$A$44,0)),0))</f>
        <v/>
      </c>
      <c r="H533" s="16" t="str">
        <f aca="false">IF(B533="","",F533*IFERROR(INDEX(Despesas!$B$5:$B$8,MATCH(D533,Despesas!$A$5:$A$8,0)),0))</f>
        <v/>
      </c>
      <c r="I533" s="16" t="str">
        <f aca="false">IF(B533="","",F533-G533-H533)</f>
        <v/>
      </c>
    </row>
    <row r="534" customFormat="false" ht="15" hidden="false" customHeight="false" outlineLevel="0" collapsed="false">
      <c r="A534" s="34"/>
      <c r="B534" s="30"/>
      <c r="C534" s="30"/>
      <c r="D534" s="30"/>
      <c r="E534" s="16" t="str">
        <f aca="false">IF(B534="","",IFERROR(INDEX(Produtos!$C$5:$C$44,MATCH(B534,Produtos!$A$5:$A$44,0)),0))</f>
        <v/>
      </c>
      <c r="F534" s="16" t="str">
        <f aca="false">IF(B534="","",C534*E534)</f>
        <v/>
      </c>
      <c r="G534" s="16" t="str">
        <f aca="false">IF(B534="","",C534*IFERROR(INDEX(Produtos!$D$5:$D$44,MATCH(B534,Produtos!$A$5:$A$44,0)),0))</f>
        <v/>
      </c>
      <c r="H534" s="16" t="str">
        <f aca="false">IF(B534="","",F534*IFERROR(INDEX(Despesas!$B$5:$B$8,MATCH(D534,Despesas!$A$5:$A$8,0)),0))</f>
        <v/>
      </c>
      <c r="I534" s="16" t="str">
        <f aca="false">IF(B534="","",F534-G534-H534)</f>
        <v/>
      </c>
    </row>
    <row r="535" customFormat="false" ht="15" hidden="false" customHeight="false" outlineLevel="0" collapsed="false">
      <c r="A535" s="34"/>
      <c r="B535" s="30"/>
      <c r="C535" s="30"/>
      <c r="D535" s="30"/>
      <c r="E535" s="16" t="str">
        <f aca="false">IF(B535="","",IFERROR(INDEX(Produtos!$C$5:$C$44,MATCH(B535,Produtos!$A$5:$A$44,0)),0))</f>
        <v/>
      </c>
      <c r="F535" s="16" t="str">
        <f aca="false">IF(B535="","",C535*E535)</f>
        <v/>
      </c>
      <c r="G535" s="16" t="str">
        <f aca="false">IF(B535="","",C535*IFERROR(INDEX(Produtos!$D$5:$D$44,MATCH(B535,Produtos!$A$5:$A$44,0)),0))</f>
        <v/>
      </c>
      <c r="H535" s="16" t="str">
        <f aca="false">IF(B535="","",F535*IFERROR(INDEX(Despesas!$B$5:$B$8,MATCH(D535,Despesas!$A$5:$A$8,0)),0))</f>
        <v/>
      </c>
      <c r="I535" s="16" t="str">
        <f aca="false">IF(B535="","",F535-G535-H535)</f>
        <v/>
      </c>
    </row>
    <row r="536" customFormat="false" ht="15" hidden="false" customHeight="false" outlineLevel="0" collapsed="false">
      <c r="A536" s="34"/>
      <c r="B536" s="30"/>
      <c r="C536" s="30"/>
      <c r="D536" s="30"/>
      <c r="E536" s="16" t="str">
        <f aca="false">IF(B536="","",IFERROR(INDEX(Produtos!$C$5:$C$44,MATCH(B536,Produtos!$A$5:$A$44,0)),0))</f>
        <v/>
      </c>
      <c r="F536" s="16" t="str">
        <f aca="false">IF(B536="","",C536*E536)</f>
        <v/>
      </c>
      <c r="G536" s="16" t="str">
        <f aca="false">IF(B536="","",C536*IFERROR(INDEX(Produtos!$D$5:$D$44,MATCH(B536,Produtos!$A$5:$A$44,0)),0))</f>
        <v/>
      </c>
      <c r="H536" s="16" t="str">
        <f aca="false">IF(B536="","",F536*IFERROR(INDEX(Despesas!$B$5:$B$8,MATCH(D536,Despesas!$A$5:$A$8,0)),0))</f>
        <v/>
      </c>
      <c r="I536" s="16" t="str">
        <f aca="false">IF(B536="","",F536-G536-H536)</f>
        <v/>
      </c>
    </row>
    <row r="537" customFormat="false" ht="15" hidden="false" customHeight="false" outlineLevel="0" collapsed="false">
      <c r="A537" s="34"/>
      <c r="B537" s="30"/>
      <c r="C537" s="30"/>
      <c r="D537" s="30"/>
      <c r="E537" s="16" t="str">
        <f aca="false">IF(B537="","",IFERROR(INDEX(Produtos!$C$5:$C$44,MATCH(B537,Produtos!$A$5:$A$44,0)),0))</f>
        <v/>
      </c>
      <c r="F537" s="16" t="str">
        <f aca="false">IF(B537="","",C537*E537)</f>
        <v/>
      </c>
      <c r="G537" s="16" t="str">
        <f aca="false">IF(B537="","",C537*IFERROR(INDEX(Produtos!$D$5:$D$44,MATCH(B537,Produtos!$A$5:$A$44,0)),0))</f>
        <v/>
      </c>
      <c r="H537" s="16" t="str">
        <f aca="false">IF(B537="","",F537*IFERROR(INDEX(Despesas!$B$5:$B$8,MATCH(D537,Despesas!$A$5:$A$8,0)),0))</f>
        <v/>
      </c>
      <c r="I537" s="16" t="str">
        <f aca="false">IF(B537="","",F537-G537-H537)</f>
        <v/>
      </c>
    </row>
    <row r="538" customFormat="false" ht="15" hidden="false" customHeight="false" outlineLevel="0" collapsed="false">
      <c r="A538" s="34"/>
      <c r="B538" s="30"/>
      <c r="C538" s="30"/>
      <c r="D538" s="30"/>
      <c r="E538" s="16" t="str">
        <f aca="false">IF(B538="","",IFERROR(INDEX(Produtos!$C$5:$C$44,MATCH(B538,Produtos!$A$5:$A$44,0)),0))</f>
        <v/>
      </c>
      <c r="F538" s="16" t="str">
        <f aca="false">IF(B538="","",C538*E538)</f>
        <v/>
      </c>
      <c r="G538" s="16" t="str">
        <f aca="false">IF(B538="","",C538*IFERROR(INDEX(Produtos!$D$5:$D$44,MATCH(B538,Produtos!$A$5:$A$44,0)),0))</f>
        <v/>
      </c>
      <c r="H538" s="16" t="str">
        <f aca="false">IF(B538="","",F538*IFERROR(INDEX(Despesas!$B$5:$B$8,MATCH(D538,Despesas!$A$5:$A$8,0)),0))</f>
        <v/>
      </c>
      <c r="I538" s="16" t="str">
        <f aca="false">IF(B538="","",F538-G538-H538)</f>
        <v/>
      </c>
    </row>
    <row r="539" customFormat="false" ht="15" hidden="false" customHeight="false" outlineLevel="0" collapsed="false">
      <c r="A539" s="34"/>
      <c r="B539" s="30"/>
      <c r="C539" s="30"/>
      <c r="D539" s="30"/>
      <c r="E539" s="16" t="str">
        <f aca="false">IF(B539="","",IFERROR(INDEX(Produtos!$C$5:$C$44,MATCH(B539,Produtos!$A$5:$A$44,0)),0))</f>
        <v/>
      </c>
      <c r="F539" s="16" t="str">
        <f aca="false">IF(B539="","",C539*E539)</f>
        <v/>
      </c>
      <c r="G539" s="16" t="str">
        <f aca="false">IF(B539="","",C539*IFERROR(INDEX(Produtos!$D$5:$D$44,MATCH(B539,Produtos!$A$5:$A$44,0)),0))</f>
        <v/>
      </c>
      <c r="H539" s="16" t="str">
        <f aca="false">IF(B539="","",F539*IFERROR(INDEX(Despesas!$B$5:$B$8,MATCH(D539,Despesas!$A$5:$A$8,0)),0))</f>
        <v/>
      </c>
      <c r="I539" s="16" t="str">
        <f aca="false">IF(B539="","",F539-G539-H539)</f>
        <v/>
      </c>
    </row>
    <row r="540" customFormat="false" ht="15" hidden="false" customHeight="false" outlineLevel="0" collapsed="false">
      <c r="A540" s="34"/>
      <c r="B540" s="30"/>
      <c r="C540" s="30"/>
      <c r="D540" s="30"/>
      <c r="E540" s="16" t="str">
        <f aca="false">IF(B540="","",IFERROR(INDEX(Produtos!$C$5:$C$44,MATCH(B540,Produtos!$A$5:$A$44,0)),0))</f>
        <v/>
      </c>
      <c r="F540" s="16" t="str">
        <f aca="false">IF(B540="","",C540*E540)</f>
        <v/>
      </c>
      <c r="G540" s="16" t="str">
        <f aca="false">IF(B540="","",C540*IFERROR(INDEX(Produtos!$D$5:$D$44,MATCH(B540,Produtos!$A$5:$A$44,0)),0))</f>
        <v/>
      </c>
      <c r="H540" s="16" t="str">
        <f aca="false">IF(B540="","",F540*IFERROR(INDEX(Despesas!$B$5:$B$8,MATCH(D540,Despesas!$A$5:$A$8,0)),0))</f>
        <v/>
      </c>
      <c r="I540" s="16" t="str">
        <f aca="false">IF(B540="","",F540-G540-H540)</f>
        <v/>
      </c>
    </row>
    <row r="541" customFormat="false" ht="15" hidden="false" customHeight="false" outlineLevel="0" collapsed="false">
      <c r="A541" s="34"/>
      <c r="B541" s="30"/>
      <c r="C541" s="30"/>
      <c r="D541" s="30"/>
      <c r="E541" s="16" t="str">
        <f aca="false">IF(B541="","",IFERROR(INDEX(Produtos!$C$5:$C$44,MATCH(B541,Produtos!$A$5:$A$44,0)),0))</f>
        <v/>
      </c>
      <c r="F541" s="16" t="str">
        <f aca="false">IF(B541="","",C541*E541)</f>
        <v/>
      </c>
      <c r="G541" s="16" t="str">
        <f aca="false">IF(B541="","",C541*IFERROR(INDEX(Produtos!$D$5:$D$44,MATCH(B541,Produtos!$A$5:$A$44,0)),0))</f>
        <v/>
      </c>
      <c r="H541" s="16" t="str">
        <f aca="false">IF(B541="","",F541*IFERROR(INDEX(Despesas!$B$5:$B$8,MATCH(D541,Despesas!$A$5:$A$8,0)),0))</f>
        <v/>
      </c>
      <c r="I541" s="16" t="str">
        <f aca="false">IF(B541="","",F541-G541-H541)</f>
        <v/>
      </c>
    </row>
    <row r="542" customFormat="false" ht="15" hidden="false" customHeight="false" outlineLevel="0" collapsed="false">
      <c r="A542" s="34"/>
      <c r="B542" s="30"/>
      <c r="C542" s="30"/>
      <c r="D542" s="30"/>
      <c r="E542" s="16" t="str">
        <f aca="false">IF(B542="","",IFERROR(INDEX(Produtos!$C$5:$C$44,MATCH(B542,Produtos!$A$5:$A$44,0)),0))</f>
        <v/>
      </c>
      <c r="F542" s="16" t="str">
        <f aca="false">IF(B542="","",C542*E542)</f>
        <v/>
      </c>
      <c r="G542" s="16" t="str">
        <f aca="false">IF(B542="","",C542*IFERROR(INDEX(Produtos!$D$5:$D$44,MATCH(B542,Produtos!$A$5:$A$44,0)),0))</f>
        <v/>
      </c>
      <c r="H542" s="16" t="str">
        <f aca="false">IF(B542="","",F542*IFERROR(INDEX(Despesas!$B$5:$B$8,MATCH(D542,Despesas!$A$5:$A$8,0)),0))</f>
        <v/>
      </c>
      <c r="I542" s="16" t="str">
        <f aca="false">IF(B542="","",F542-G542-H542)</f>
        <v/>
      </c>
    </row>
    <row r="543" customFormat="false" ht="15" hidden="false" customHeight="false" outlineLevel="0" collapsed="false">
      <c r="A543" s="34"/>
      <c r="B543" s="30"/>
      <c r="C543" s="30"/>
      <c r="D543" s="30"/>
      <c r="E543" s="16" t="str">
        <f aca="false">IF(B543="","",IFERROR(INDEX(Produtos!$C$5:$C$44,MATCH(B543,Produtos!$A$5:$A$44,0)),0))</f>
        <v/>
      </c>
      <c r="F543" s="16" t="str">
        <f aca="false">IF(B543="","",C543*E543)</f>
        <v/>
      </c>
      <c r="G543" s="16" t="str">
        <f aca="false">IF(B543="","",C543*IFERROR(INDEX(Produtos!$D$5:$D$44,MATCH(B543,Produtos!$A$5:$A$44,0)),0))</f>
        <v/>
      </c>
      <c r="H543" s="16" t="str">
        <f aca="false">IF(B543="","",F543*IFERROR(INDEX(Despesas!$B$5:$B$8,MATCH(D543,Despesas!$A$5:$A$8,0)),0))</f>
        <v/>
      </c>
      <c r="I543" s="16" t="str">
        <f aca="false">IF(B543="","",F543-G543-H543)</f>
        <v/>
      </c>
    </row>
    <row r="544" customFormat="false" ht="15" hidden="false" customHeight="false" outlineLevel="0" collapsed="false">
      <c r="A544" s="34"/>
      <c r="B544" s="30"/>
      <c r="C544" s="30"/>
      <c r="D544" s="30"/>
      <c r="E544" s="16" t="str">
        <f aca="false">IF(B544="","",IFERROR(INDEX(Produtos!$C$5:$C$44,MATCH(B544,Produtos!$A$5:$A$44,0)),0))</f>
        <v/>
      </c>
      <c r="F544" s="16" t="str">
        <f aca="false">IF(B544="","",C544*E544)</f>
        <v/>
      </c>
      <c r="G544" s="16" t="str">
        <f aca="false">IF(B544="","",C544*IFERROR(INDEX(Produtos!$D$5:$D$44,MATCH(B544,Produtos!$A$5:$A$44,0)),0))</f>
        <v/>
      </c>
      <c r="H544" s="16" t="str">
        <f aca="false">IF(B544="","",F544*IFERROR(INDEX(Despesas!$B$5:$B$8,MATCH(D544,Despesas!$A$5:$A$8,0)),0))</f>
        <v/>
      </c>
      <c r="I544" s="16" t="str">
        <f aca="false">IF(B544="","",F544-G544-H544)</f>
        <v/>
      </c>
    </row>
    <row r="545" customFormat="false" ht="15" hidden="false" customHeight="false" outlineLevel="0" collapsed="false">
      <c r="A545" s="34"/>
      <c r="B545" s="30"/>
      <c r="C545" s="30"/>
      <c r="D545" s="30"/>
      <c r="E545" s="16" t="str">
        <f aca="false">IF(B545="","",IFERROR(INDEX(Produtos!$C$5:$C$44,MATCH(B545,Produtos!$A$5:$A$44,0)),0))</f>
        <v/>
      </c>
      <c r="F545" s="16" t="str">
        <f aca="false">IF(B545="","",C545*E545)</f>
        <v/>
      </c>
      <c r="G545" s="16" t="str">
        <f aca="false">IF(B545="","",C545*IFERROR(INDEX(Produtos!$D$5:$D$44,MATCH(B545,Produtos!$A$5:$A$44,0)),0))</f>
        <v/>
      </c>
      <c r="H545" s="16" t="str">
        <f aca="false">IF(B545="","",F545*IFERROR(INDEX(Despesas!$B$5:$B$8,MATCH(D545,Despesas!$A$5:$A$8,0)),0))</f>
        <v/>
      </c>
      <c r="I545" s="16" t="str">
        <f aca="false">IF(B545="","",F545-G545-H545)</f>
        <v/>
      </c>
    </row>
    <row r="546" customFormat="false" ht="15" hidden="false" customHeight="false" outlineLevel="0" collapsed="false">
      <c r="A546" s="34"/>
      <c r="B546" s="30"/>
      <c r="C546" s="30"/>
      <c r="D546" s="30"/>
      <c r="E546" s="16" t="str">
        <f aca="false">IF(B546="","",IFERROR(INDEX(Produtos!$C$5:$C$44,MATCH(B546,Produtos!$A$5:$A$44,0)),0))</f>
        <v/>
      </c>
      <c r="F546" s="16" t="str">
        <f aca="false">IF(B546="","",C546*E546)</f>
        <v/>
      </c>
      <c r="G546" s="16" t="str">
        <f aca="false">IF(B546="","",C546*IFERROR(INDEX(Produtos!$D$5:$D$44,MATCH(B546,Produtos!$A$5:$A$44,0)),0))</f>
        <v/>
      </c>
      <c r="H546" s="16" t="str">
        <f aca="false">IF(B546="","",F546*IFERROR(INDEX(Despesas!$B$5:$B$8,MATCH(D546,Despesas!$A$5:$A$8,0)),0))</f>
        <v/>
      </c>
      <c r="I546" s="16" t="str">
        <f aca="false">IF(B546="","",F546-G546-H546)</f>
        <v/>
      </c>
    </row>
    <row r="547" customFormat="false" ht="15" hidden="false" customHeight="false" outlineLevel="0" collapsed="false">
      <c r="A547" s="34"/>
      <c r="B547" s="30"/>
      <c r="C547" s="30"/>
      <c r="D547" s="30"/>
      <c r="E547" s="16" t="str">
        <f aca="false">IF(B547="","",IFERROR(INDEX(Produtos!$C$5:$C$44,MATCH(B547,Produtos!$A$5:$A$44,0)),0))</f>
        <v/>
      </c>
      <c r="F547" s="16" t="str">
        <f aca="false">IF(B547="","",C547*E547)</f>
        <v/>
      </c>
      <c r="G547" s="16" t="str">
        <f aca="false">IF(B547="","",C547*IFERROR(INDEX(Produtos!$D$5:$D$44,MATCH(B547,Produtos!$A$5:$A$44,0)),0))</f>
        <v/>
      </c>
      <c r="H547" s="16" t="str">
        <f aca="false">IF(B547="","",F547*IFERROR(INDEX(Despesas!$B$5:$B$8,MATCH(D547,Despesas!$A$5:$A$8,0)),0))</f>
        <v/>
      </c>
      <c r="I547" s="16" t="str">
        <f aca="false">IF(B547="","",F547-G547-H547)</f>
        <v/>
      </c>
    </row>
    <row r="548" customFormat="false" ht="15" hidden="false" customHeight="false" outlineLevel="0" collapsed="false">
      <c r="A548" s="34"/>
      <c r="B548" s="30"/>
      <c r="C548" s="30"/>
      <c r="D548" s="30"/>
      <c r="E548" s="16" t="str">
        <f aca="false">IF(B548="","",IFERROR(INDEX(Produtos!$C$5:$C$44,MATCH(B548,Produtos!$A$5:$A$44,0)),0))</f>
        <v/>
      </c>
      <c r="F548" s="16" t="str">
        <f aca="false">IF(B548="","",C548*E548)</f>
        <v/>
      </c>
      <c r="G548" s="16" t="str">
        <f aca="false">IF(B548="","",C548*IFERROR(INDEX(Produtos!$D$5:$D$44,MATCH(B548,Produtos!$A$5:$A$44,0)),0))</f>
        <v/>
      </c>
      <c r="H548" s="16" t="str">
        <f aca="false">IF(B548="","",F548*IFERROR(INDEX(Despesas!$B$5:$B$8,MATCH(D548,Despesas!$A$5:$A$8,0)),0))</f>
        <v/>
      </c>
      <c r="I548" s="16" t="str">
        <f aca="false">IF(B548="","",F548-G548-H548)</f>
        <v/>
      </c>
    </row>
    <row r="549" customFormat="false" ht="15" hidden="false" customHeight="false" outlineLevel="0" collapsed="false">
      <c r="A549" s="34"/>
      <c r="B549" s="30"/>
      <c r="C549" s="30"/>
      <c r="D549" s="30"/>
      <c r="E549" s="16" t="str">
        <f aca="false">IF(B549="","",IFERROR(INDEX(Produtos!$C$5:$C$44,MATCH(B549,Produtos!$A$5:$A$44,0)),0))</f>
        <v/>
      </c>
      <c r="F549" s="16" t="str">
        <f aca="false">IF(B549="","",C549*E549)</f>
        <v/>
      </c>
      <c r="G549" s="16" t="str">
        <f aca="false">IF(B549="","",C549*IFERROR(INDEX(Produtos!$D$5:$D$44,MATCH(B549,Produtos!$A$5:$A$44,0)),0))</f>
        <v/>
      </c>
      <c r="H549" s="16" t="str">
        <f aca="false">IF(B549="","",F549*IFERROR(INDEX(Despesas!$B$5:$B$8,MATCH(D549,Despesas!$A$5:$A$8,0)),0))</f>
        <v/>
      </c>
      <c r="I549" s="16" t="str">
        <f aca="false">IF(B549="","",F549-G549-H549)</f>
        <v/>
      </c>
    </row>
    <row r="550" customFormat="false" ht="15" hidden="false" customHeight="false" outlineLevel="0" collapsed="false">
      <c r="A550" s="34"/>
      <c r="B550" s="30"/>
      <c r="C550" s="30"/>
      <c r="D550" s="30"/>
      <c r="E550" s="16" t="str">
        <f aca="false">IF(B550="","",IFERROR(INDEX(Produtos!$C$5:$C$44,MATCH(B550,Produtos!$A$5:$A$44,0)),0))</f>
        <v/>
      </c>
      <c r="F550" s="16" t="str">
        <f aca="false">IF(B550="","",C550*E550)</f>
        <v/>
      </c>
      <c r="G550" s="16" t="str">
        <f aca="false">IF(B550="","",C550*IFERROR(INDEX(Produtos!$D$5:$D$44,MATCH(B550,Produtos!$A$5:$A$44,0)),0))</f>
        <v/>
      </c>
      <c r="H550" s="16" t="str">
        <f aca="false">IF(B550="","",F550*IFERROR(INDEX(Despesas!$B$5:$B$8,MATCH(D550,Despesas!$A$5:$A$8,0)),0))</f>
        <v/>
      </c>
      <c r="I550" s="16" t="str">
        <f aca="false">IF(B550="","",F550-G550-H550)</f>
        <v/>
      </c>
    </row>
    <row r="551" customFormat="false" ht="15" hidden="false" customHeight="false" outlineLevel="0" collapsed="false">
      <c r="A551" s="34"/>
      <c r="B551" s="30"/>
      <c r="C551" s="30"/>
      <c r="D551" s="30"/>
      <c r="E551" s="16" t="str">
        <f aca="false">IF(B551="","",IFERROR(INDEX(Produtos!$C$5:$C$44,MATCH(B551,Produtos!$A$5:$A$44,0)),0))</f>
        <v/>
      </c>
      <c r="F551" s="16" t="str">
        <f aca="false">IF(B551="","",C551*E551)</f>
        <v/>
      </c>
      <c r="G551" s="16" t="str">
        <f aca="false">IF(B551="","",C551*IFERROR(INDEX(Produtos!$D$5:$D$44,MATCH(B551,Produtos!$A$5:$A$44,0)),0))</f>
        <v/>
      </c>
      <c r="H551" s="16" t="str">
        <f aca="false">IF(B551="","",F551*IFERROR(INDEX(Despesas!$B$5:$B$8,MATCH(D551,Despesas!$A$5:$A$8,0)),0))</f>
        <v/>
      </c>
      <c r="I551" s="16" t="str">
        <f aca="false">IF(B551="","",F551-G551-H551)</f>
        <v/>
      </c>
    </row>
    <row r="552" customFormat="false" ht="15" hidden="false" customHeight="false" outlineLevel="0" collapsed="false">
      <c r="A552" s="34"/>
      <c r="B552" s="30"/>
      <c r="C552" s="30"/>
      <c r="D552" s="30"/>
      <c r="E552" s="16" t="str">
        <f aca="false">IF(B552="","",IFERROR(INDEX(Produtos!$C$5:$C$44,MATCH(B552,Produtos!$A$5:$A$44,0)),0))</f>
        <v/>
      </c>
      <c r="F552" s="16" t="str">
        <f aca="false">IF(B552="","",C552*E552)</f>
        <v/>
      </c>
      <c r="G552" s="16" t="str">
        <f aca="false">IF(B552="","",C552*IFERROR(INDEX(Produtos!$D$5:$D$44,MATCH(B552,Produtos!$A$5:$A$44,0)),0))</f>
        <v/>
      </c>
      <c r="H552" s="16" t="str">
        <f aca="false">IF(B552="","",F552*IFERROR(INDEX(Despesas!$B$5:$B$8,MATCH(D552,Despesas!$A$5:$A$8,0)),0))</f>
        <v/>
      </c>
      <c r="I552" s="16" t="str">
        <f aca="false">IF(B552="","",F552-G552-H552)</f>
        <v/>
      </c>
    </row>
    <row r="553" customFormat="false" ht="15" hidden="false" customHeight="false" outlineLevel="0" collapsed="false">
      <c r="A553" s="34"/>
      <c r="B553" s="30"/>
      <c r="C553" s="30"/>
      <c r="D553" s="30"/>
      <c r="E553" s="16" t="str">
        <f aca="false">IF(B553="","",IFERROR(INDEX(Produtos!$C$5:$C$44,MATCH(B553,Produtos!$A$5:$A$44,0)),0))</f>
        <v/>
      </c>
      <c r="F553" s="16" t="str">
        <f aca="false">IF(B553="","",C553*E553)</f>
        <v/>
      </c>
      <c r="G553" s="16" t="str">
        <f aca="false">IF(B553="","",C553*IFERROR(INDEX(Produtos!$D$5:$D$44,MATCH(B553,Produtos!$A$5:$A$44,0)),0))</f>
        <v/>
      </c>
      <c r="H553" s="16" t="str">
        <f aca="false">IF(B553="","",F553*IFERROR(INDEX(Despesas!$B$5:$B$8,MATCH(D553,Despesas!$A$5:$A$8,0)),0))</f>
        <v/>
      </c>
      <c r="I553" s="16" t="str">
        <f aca="false">IF(B553="","",F553-G553-H553)</f>
        <v/>
      </c>
    </row>
    <row r="554" customFormat="false" ht="15" hidden="false" customHeight="false" outlineLevel="0" collapsed="false">
      <c r="A554" s="34"/>
      <c r="B554" s="30"/>
      <c r="C554" s="30"/>
      <c r="D554" s="30"/>
      <c r="E554" s="16" t="str">
        <f aca="false">IF(B554="","",IFERROR(INDEX(Produtos!$C$5:$C$44,MATCH(B554,Produtos!$A$5:$A$44,0)),0))</f>
        <v/>
      </c>
      <c r="F554" s="16" t="str">
        <f aca="false">IF(B554="","",C554*E554)</f>
        <v/>
      </c>
      <c r="G554" s="16" t="str">
        <f aca="false">IF(B554="","",C554*IFERROR(INDEX(Produtos!$D$5:$D$44,MATCH(B554,Produtos!$A$5:$A$44,0)),0))</f>
        <v/>
      </c>
      <c r="H554" s="16" t="str">
        <f aca="false">IF(B554="","",F554*IFERROR(INDEX(Despesas!$B$5:$B$8,MATCH(D554,Despesas!$A$5:$A$8,0)),0))</f>
        <v/>
      </c>
      <c r="I554" s="16" t="str">
        <f aca="false">IF(B554="","",F554-G554-H554)</f>
        <v/>
      </c>
    </row>
    <row r="555" customFormat="false" ht="15" hidden="false" customHeight="false" outlineLevel="0" collapsed="false">
      <c r="A555" s="34"/>
      <c r="B555" s="30"/>
      <c r="C555" s="30"/>
      <c r="D555" s="30"/>
      <c r="E555" s="16" t="str">
        <f aca="false">IF(B555="","",IFERROR(INDEX(Produtos!$C$5:$C$44,MATCH(B555,Produtos!$A$5:$A$44,0)),0))</f>
        <v/>
      </c>
      <c r="F555" s="16" t="str">
        <f aca="false">IF(B555="","",C555*E555)</f>
        <v/>
      </c>
      <c r="G555" s="16" t="str">
        <f aca="false">IF(B555="","",C555*IFERROR(INDEX(Produtos!$D$5:$D$44,MATCH(B555,Produtos!$A$5:$A$44,0)),0))</f>
        <v/>
      </c>
      <c r="H555" s="16" t="str">
        <f aca="false">IF(B555="","",F555*IFERROR(INDEX(Despesas!$B$5:$B$8,MATCH(D555,Despesas!$A$5:$A$8,0)),0))</f>
        <v/>
      </c>
      <c r="I555" s="16" t="str">
        <f aca="false">IF(B555="","",F555-G555-H555)</f>
        <v/>
      </c>
    </row>
    <row r="556" customFormat="false" ht="15" hidden="false" customHeight="false" outlineLevel="0" collapsed="false">
      <c r="A556" s="34"/>
      <c r="B556" s="30"/>
      <c r="C556" s="30"/>
      <c r="D556" s="30"/>
      <c r="E556" s="16" t="str">
        <f aca="false">IF(B556="","",IFERROR(INDEX(Produtos!$C$5:$C$44,MATCH(B556,Produtos!$A$5:$A$44,0)),0))</f>
        <v/>
      </c>
      <c r="F556" s="16" t="str">
        <f aca="false">IF(B556="","",C556*E556)</f>
        <v/>
      </c>
      <c r="G556" s="16" t="str">
        <f aca="false">IF(B556="","",C556*IFERROR(INDEX(Produtos!$D$5:$D$44,MATCH(B556,Produtos!$A$5:$A$44,0)),0))</f>
        <v/>
      </c>
      <c r="H556" s="16" t="str">
        <f aca="false">IF(B556="","",F556*IFERROR(INDEX(Despesas!$B$5:$B$8,MATCH(D556,Despesas!$A$5:$A$8,0)),0))</f>
        <v/>
      </c>
      <c r="I556" s="16" t="str">
        <f aca="false">IF(B556="","",F556-G556-H556)</f>
        <v/>
      </c>
    </row>
    <row r="557" customFormat="false" ht="15" hidden="false" customHeight="false" outlineLevel="0" collapsed="false">
      <c r="A557" s="34"/>
      <c r="B557" s="30"/>
      <c r="C557" s="30"/>
      <c r="D557" s="30"/>
      <c r="E557" s="16" t="str">
        <f aca="false">IF(B557="","",IFERROR(INDEX(Produtos!$C$5:$C$44,MATCH(B557,Produtos!$A$5:$A$44,0)),0))</f>
        <v/>
      </c>
      <c r="F557" s="16" t="str">
        <f aca="false">IF(B557="","",C557*E557)</f>
        <v/>
      </c>
      <c r="G557" s="16" t="str">
        <f aca="false">IF(B557="","",C557*IFERROR(INDEX(Produtos!$D$5:$D$44,MATCH(B557,Produtos!$A$5:$A$44,0)),0))</f>
        <v/>
      </c>
      <c r="H557" s="16" t="str">
        <f aca="false">IF(B557="","",F557*IFERROR(INDEX(Despesas!$B$5:$B$8,MATCH(D557,Despesas!$A$5:$A$8,0)),0))</f>
        <v/>
      </c>
      <c r="I557" s="16" t="str">
        <f aca="false">IF(B557="","",F557-G557-H557)</f>
        <v/>
      </c>
    </row>
    <row r="558" customFormat="false" ht="15" hidden="false" customHeight="false" outlineLevel="0" collapsed="false">
      <c r="A558" s="34"/>
      <c r="B558" s="30"/>
      <c r="C558" s="30"/>
      <c r="D558" s="30"/>
      <c r="E558" s="16" t="str">
        <f aca="false">IF(B558="","",IFERROR(INDEX(Produtos!$C$5:$C$44,MATCH(B558,Produtos!$A$5:$A$44,0)),0))</f>
        <v/>
      </c>
      <c r="F558" s="16" t="str">
        <f aca="false">IF(B558="","",C558*E558)</f>
        <v/>
      </c>
      <c r="G558" s="16" t="str">
        <f aca="false">IF(B558="","",C558*IFERROR(INDEX(Produtos!$D$5:$D$44,MATCH(B558,Produtos!$A$5:$A$44,0)),0))</f>
        <v/>
      </c>
      <c r="H558" s="16" t="str">
        <f aca="false">IF(B558="","",F558*IFERROR(INDEX(Despesas!$B$5:$B$8,MATCH(D558,Despesas!$A$5:$A$8,0)),0))</f>
        <v/>
      </c>
      <c r="I558" s="16" t="str">
        <f aca="false">IF(B558="","",F558-G558-H558)</f>
        <v/>
      </c>
    </row>
    <row r="559" customFormat="false" ht="15" hidden="false" customHeight="false" outlineLevel="0" collapsed="false">
      <c r="A559" s="34"/>
      <c r="B559" s="30"/>
      <c r="C559" s="30"/>
      <c r="D559" s="30"/>
      <c r="E559" s="16" t="str">
        <f aca="false">IF(B559="","",IFERROR(INDEX(Produtos!$C$5:$C$44,MATCH(B559,Produtos!$A$5:$A$44,0)),0))</f>
        <v/>
      </c>
      <c r="F559" s="16" t="str">
        <f aca="false">IF(B559="","",C559*E559)</f>
        <v/>
      </c>
      <c r="G559" s="16" t="str">
        <f aca="false">IF(B559="","",C559*IFERROR(INDEX(Produtos!$D$5:$D$44,MATCH(B559,Produtos!$A$5:$A$44,0)),0))</f>
        <v/>
      </c>
      <c r="H559" s="16" t="str">
        <f aca="false">IF(B559="","",F559*IFERROR(INDEX(Despesas!$B$5:$B$8,MATCH(D559,Despesas!$A$5:$A$8,0)),0))</f>
        <v/>
      </c>
      <c r="I559" s="16" t="str">
        <f aca="false">IF(B559="","",F559-G559-H559)</f>
        <v/>
      </c>
    </row>
    <row r="560" customFormat="false" ht="15" hidden="false" customHeight="false" outlineLevel="0" collapsed="false">
      <c r="A560" s="34"/>
      <c r="B560" s="30"/>
      <c r="C560" s="30"/>
      <c r="D560" s="30"/>
      <c r="E560" s="16" t="str">
        <f aca="false">IF(B560="","",IFERROR(INDEX(Produtos!$C$5:$C$44,MATCH(B560,Produtos!$A$5:$A$44,0)),0))</f>
        <v/>
      </c>
      <c r="F560" s="16" t="str">
        <f aca="false">IF(B560="","",C560*E560)</f>
        <v/>
      </c>
      <c r="G560" s="16" t="str">
        <f aca="false">IF(B560="","",C560*IFERROR(INDEX(Produtos!$D$5:$D$44,MATCH(B560,Produtos!$A$5:$A$44,0)),0))</f>
        <v/>
      </c>
      <c r="H560" s="16" t="str">
        <f aca="false">IF(B560="","",F560*IFERROR(INDEX(Despesas!$B$5:$B$8,MATCH(D560,Despesas!$A$5:$A$8,0)),0))</f>
        <v/>
      </c>
      <c r="I560" s="16" t="str">
        <f aca="false">IF(B560="","",F560-G560-H560)</f>
        <v/>
      </c>
    </row>
    <row r="561" customFormat="false" ht="15" hidden="false" customHeight="false" outlineLevel="0" collapsed="false">
      <c r="A561" s="34"/>
      <c r="B561" s="30"/>
      <c r="C561" s="30"/>
      <c r="D561" s="30"/>
      <c r="E561" s="16" t="str">
        <f aca="false">IF(B561="","",IFERROR(INDEX(Produtos!$C$5:$C$44,MATCH(B561,Produtos!$A$5:$A$44,0)),0))</f>
        <v/>
      </c>
      <c r="F561" s="16" t="str">
        <f aca="false">IF(B561="","",C561*E561)</f>
        <v/>
      </c>
      <c r="G561" s="16" t="str">
        <f aca="false">IF(B561="","",C561*IFERROR(INDEX(Produtos!$D$5:$D$44,MATCH(B561,Produtos!$A$5:$A$44,0)),0))</f>
        <v/>
      </c>
      <c r="H561" s="16" t="str">
        <f aca="false">IF(B561="","",F561*IFERROR(INDEX(Despesas!$B$5:$B$8,MATCH(D561,Despesas!$A$5:$A$8,0)),0))</f>
        <v/>
      </c>
      <c r="I561" s="16" t="str">
        <f aca="false">IF(B561="","",F561-G561-H561)</f>
        <v/>
      </c>
    </row>
    <row r="562" customFormat="false" ht="15" hidden="false" customHeight="false" outlineLevel="0" collapsed="false">
      <c r="A562" s="34"/>
      <c r="B562" s="30"/>
      <c r="C562" s="30"/>
      <c r="D562" s="30"/>
      <c r="E562" s="16" t="str">
        <f aca="false">IF(B562="","",IFERROR(INDEX(Produtos!$C$5:$C$44,MATCH(B562,Produtos!$A$5:$A$44,0)),0))</f>
        <v/>
      </c>
      <c r="F562" s="16" t="str">
        <f aca="false">IF(B562="","",C562*E562)</f>
        <v/>
      </c>
      <c r="G562" s="16" t="str">
        <f aca="false">IF(B562="","",C562*IFERROR(INDEX(Produtos!$D$5:$D$44,MATCH(B562,Produtos!$A$5:$A$44,0)),0))</f>
        <v/>
      </c>
      <c r="H562" s="16" t="str">
        <f aca="false">IF(B562="","",F562*IFERROR(INDEX(Despesas!$B$5:$B$8,MATCH(D562,Despesas!$A$5:$A$8,0)),0))</f>
        <v/>
      </c>
      <c r="I562" s="16" t="str">
        <f aca="false">IF(B562="","",F562-G562-H562)</f>
        <v/>
      </c>
    </row>
    <row r="563" customFormat="false" ht="15" hidden="false" customHeight="false" outlineLevel="0" collapsed="false">
      <c r="A563" s="34"/>
      <c r="B563" s="30"/>
      <c r="C563" s="30"/>
      <c r="D563" s="30"/>
      <c r="E563" s="16" t="str">
        <f aca="false">IF(B563="","",IFERROR(INDEX(Produtos!$C$5:$C$44,MATCH(B563,Produtos!$A$5:$A$44,0)),0))</f>
        <v/>
      </c>
      <c r="F563" s="16" t="str">
        <f aca="false">IF(B563="","",C563*E563)</f>
        <v/>
      </c>
      <c r="G563" s="16" t="str">
        <f aca="false">IF(B563="","",C563*IFERROR(INDEX(Produtos!$D$5:$D$44,MATCH(B563,Produtos!$A$5:$A$44,0)),0))</f>
        <v/>
      </c>
      <c r="H563" s="16" t="str">
        <f aca="false">IF(B563="","",F563*IFERROR(INDEX(Despesas!$B$5:$B$8,MATCH(D563,Despesas!$A$5:$A$8,0)),0))</f>
        <v/>
      </c>
      <c r="I563" s="16" t="str">
        <f aca="false">IF(B563="","",F563-G563-H563)</f>
        <v/>
      </c>
    </row>
    <row r="564" customFormat="false" ht="15" hidden="false" customHeight="false" outlineLevel="0" collapsed="false">
      <c r="A564" s="34"/>
      <c r="B564" s="30"/>
      <c r="C564" s="30"/>
      <c r="D564" s="30"/>
      <c r="E564" s="16" t="str">
        <f aca="false">IF(B564="","",IFERROR(INDEX(Produtos!$C$5:$C$44,MATCH(B564,Produtos!$A$5:$A$44,0)),0))</f>
        <v/>
      </c>
      <c r="F564" s="16" t="str">
        <f aca="false">IF(B564="","",C564*E564)</f>
        <v/>
      </c>
      <c r="G564" s="16" t="str">
        <f aca="false">IF(B564="","",C564*IFERROR(INDEX(Produtos!$D$5:$D$44,MATCH(B564,Produtos!$A$5:$A$44,0)),0))</f>
        <v/>
      </c>
      <c r="H564" s="16" t="str">
        <f aca="false">IF(B564="","",F564*IFERROR(INDEX(Despesas!$B$5:$B$8,MATCH(D564,Despesas!$A$5:$A$8,0)),0))</f>
        <v/>
      </c>
      <c r="I564" s="16" t="str">
        <f aca="false">IF(B564="","",F564-G564-H564)</f>
        <v/>
      </c>
    </row>
    <row r="565" customFormat="false" ht="15" hidden="false" customHeight="false" outlineLevel="0" collapsed="false">
      <c r="A565" s="34"/>
      <c r="B565" s="30"/>
      <c r="C565" s="30"/>
      <c r="D565" s="30"/>
      <c r="E565" s="16" t="str">
        <f aca="false">IF(B565="","",IFERROR(INDEX(Produtos!$C$5:$C$44,MATCH(B565,Produtos!$A$5:$A$44,0)),0))</f>
        <v/>
      </c>
      <c r="F565" s="16" t="str">
        <f aca="false">IF(B565="","",C565*E565)</f>
        <v/>
      </c>
      <c r="G565" s="16" t="str">
        <f aca="false">IF(B565="","",C565*IFERROR(INDEX(Produtos!$D$5:$D$44,MATCH(B565,Produtos!$A$5:$A$44,0)),0))</f>
        <v/>
      </c>
      <c r="H565" s="16" t="str">
        <f aca="false">IF(B565="","",F565*IFERROR(INDEX(Despesas!$B$5:$B$8,MATCH(D565,Despesas!$A$5:$A$8,0)),0))</f>
        <v/>
      </c>
      <c r="I565" s="16" t="str">
        <f aca="false">IF(B565="","",F565-G565-H565)</f>
        <v/>
      </c>
    </row>
    <row r="566" customFormat="false" ht="15" hidden="false" customHeight="false" outlineLevel="0" collapsed="false">
      <c r="A566" s="34"/>
      <c r="B566" s="30"/>
      <c r="C566" s="30"/>
      <c r="D566" s="30"/>
      <c r="E566" s="16" t="str">
        <f aca="false">IF(B566="","",IFERROR(INDEX(Produtos!$C$5:$C$44,MATCH(B566,Produtos!$A$5:$A$44,0)),0))</f>
        <v/>
      </c>
      <c r="F566" s="16" t="str">
        <f aca="false">IF(B566="","",C566*E566)</f>
        <v/>
      </c>
      <c r="G566" s="16" t="str">
        <f aca="false">IF(B566="","",C566*IFERROR(INDEX(Produtos!$D$5:$D$44,MATCH(B566,Produtos!$A$5:$A$44,0)),0))</f>
        <v/>
      </c>
      <c r="H566" s="16" t="str">
        <f aca="false">IF(B566="","",F566*IFERROR(INDEX(Despesas!$B$5:$B$8,MATCH(D566,Despesas!$A$5:$A$8,0)),0))</f>
        <v/>
      </c>
      <c r="I566" s="16" t="str">
        <f aca="false">IF(B566="","",F566-G566-H566)</f>
        <v/>
      </c>
    </row>
    <row r="567" customFormat="false" ht="15" hidden="false" customHeight="false" outlineLevel="0" collapsed="false">
      <c r="A567" s="34"/>
      <c r="B567" s="30"/>
      <c r="C567" s="30"/>
      <c r="D567" s="30"/>
      <c r="E567" s="16" t="str">
        <f aca="false">IF(B567="","",IFERROR(INDEX(Produtos!$C$5:$C$44,MATCH(B567,Produtos!$A$5:$A$44,0)),0))</f>
        <v/>
      </c>
      <c r="F567" s="16" t="str">
        <f aca="false">IF(B567="","",C567*E567)</f>
        <v/>
      </c>
      <c r="G567" s="16" t="str">
        <f aca="false">IF(B567="","",C567*IFERROR(INDEX(Produtos!$D$5:$D$44,MATCH(B567,Produtos!$A$5:$A$44,0)),0))</f>
        <v/>
      </c>
      <c r="H567" s="16" t="str">
        <f aca="false">IF(B567="","",F567*IFERROR(INDEX(Despesas!$B$5:$B$8,MATCH(D567,Despesas!$A$5:$A$8,0)),0))</f>
        <v/>
      </c>
      <c r="I567" s="16" t="str">
        <f aca="false">IF(B567="","",F567-G567-H567)</f>
        <v/>
      </c>
    </row>
    <row r="568" customFormat="false" ht="15" hidden="false" customHeight="false" outlineLevel="0" collapsed="false">
      <c r="A568" s="34"/>
      <c r="B568" s="30"/>
      <c r="C568" s="30"/>
      <c r="D568" s="30"/>
      <c r="E568" s="16" t="str">
        <f aca="false">IF(B568="","",IFERROR(INDEX(Produtos!$C$5:$C$44,MATCH(B568,Produtos!$A$5:$A$44,0)),0))</f>
        <v/>
      </c>
      <c r="F568" s="16" t="str">
        <f aca="false">IF(B568="","",C568*E568)</f>
        <v/>
      </c>
      <c r="G568" s="16" t="str">
        <f aca="false">IF(B568="","",C568*IFERROR(INDEX(Produtos!$D$5:$D$44,MATCH(B568,Produtos!$A$5:$A$44,0)),0))</f>
        <v/>
      </c>
      <c r="H568" s="16" t="str">
        <f aca="false">IF(B568="","",F568*IFERROR(INDEX(Despesas!$B$5:$B$8,MATCH(D568,Despesas!$A$5:$A$8,0)),0))</f>
        <v/>
      </c>
      <c r="I568" s="16" t="str">
        <f aca="false">IF(B568="","",F568-G568-H568)</f>
        <v/>
      </c>
    </row>
    <row r="569" customFormat="false" ht="15" hidden="false" customHeight="false" outlineLevel="0" collapsed="false">
      <c r="A569" s="34"/>
      <c r="B569" s="30"/>
      <c r="C569" s="30"/>
      <c r="D569" s="30"/>
      <c r="E569" s="16" t="str">
        <f aca="false">IF(B569="","",IFERROR(INDEX(Produtos!$C$5:$C$44,MATCH(B569,Produtos!$A$5:$A$44,0)),0))</f>
        <v/>
      </c>
      <c r="F569" s="16" t="str">
        <f aca="false">IF(B569="","",C569*E569)</f>
        <v/>
      </c>
      <c r="G569" s="16" t="str">
        <f aca="false">IF(B569="","",C569*IFERROR(INDEX(Produtos!$D$5:$D$44,MATCH(B569,Produtos!$A$5:$A$44,0)),0))</f>
        <v/>
      </c>
      <c r="H569" s="16" t="str">
        <f aca="false">IF(B569="","",F569*IFERROR(INDEX(Despesas!$B$5:$B$8,MATCH(D569,Despesas!$A$5:$A$8,0)),0))</f>
        <v/>
      </c>
      <c r="I569" s="16" t="str">
        <f aca="false">IF(B569="","",F569-G569-H569)</f>
        <v/>
      </c>
    </row>
    <row r="570" customFormat="false" ht="15" hidden="false" customHeight="false" outlineLevel="0" collapsed="false">
      <c r="A570" s="34"/>
      <c r="B570" s="30"/>
      <c r="C570" s="30"/>
      <c r="D570" s="30"/>
      <c r="E570" s="16" t="str">
        <f aca="false">IF(B570="","",IFERROR(INDEX(Produtos!$C$5:$C$44,MATCH(B570,Produtos!$A$5:$A$44,0)),0))</f>
        <v/>
      </c>
      <c r="F570" s="16" t="str">
        <f aca="false">IF(B570="","",C570*E570)</f>
        <v/>
      </c>
      <c r="G570" s="16" t="str">
        <f aca="false">IF(B570="","",C570*IFERROR(INDEX(Produtos!$D$5:$D$44,MATCH(B570,Produtos!$A$5:$A$44,0)),0))</f>
        <v/>
      </c>
      <c r="H570" s="16" t="str">
        <f aca="false">IF(B570="","",F570*IFERROR(INDEX(Despesas!$B$5:$B$8,MATCH(D570,Despesas!$A$5:$A$8,0)),0))</f>
        <v/>
      </c>
      <c r="I570" s="16" t="str">
        <f aca="false">IF(B570="","",F570-G570-H570)</f>
        <v/>
      </c>
    </row>
    <row r="571" customFormat="false" ht="15" hidden="false" customHeight="false" outlineLevel="0" collapsed="false">
      <c r="A571" s="34"/>
      <c r="B571" s="30"/>
      <c r="C571" s="30"/>
      <c r="D571" s="30"/>
      <c r="E571" s="16" t="str">
        <f aca="false">IF(B571="","",IFERROR(INDEX(Produtos!$C$5:$C$44,MATCH(B571,Produtos!$A$5:$A$44,0)),0))</f>
        <v/>
      </c>
      <c r="F571" s="16" t="str">
        <f aca="false">IF(B571="","",C571*E571)</f>
        <v/>
      </c>
      <c r="G571" s="16" t="str">
        <f aca="false">IF(B571="","",C571*IFERROR(INDEX(Produtos!$D$5:$D$44,MATCH(B571,Produtos!$A$5:$A$44,0)),0))</f>
        <v/>
      </c>
      <c r="H571" s="16" t="str">
        <f aca="false">IF(B571="","",F571*IFERROR(INDEX(Despesas!$B$5:$B$8,MATCH(D571,Despesas!$A$5:$A$8,0)),0))</f>
        <v/>
      </c>
      <c r="I571" s="16" t="str">
        <f aca="false">IF(B571="","",F571-G571-H571)</f>
        <v/>
      </c>
    </row>
    <row r="572" customFormat="false" ht="15" hidden="false" customHeight="false" outlineLevel="0" collapsed="false">
      <c r="A572" s="34"/>
      <c r="B572" s="30"/>
      <c r="C572" s="30"/>
      <c r="D572" s="30"/>
      <c r="E572" s="16" t="str">
        <f aca="false">IF(B572="","",IFERROR(INDEX(Produtos!$C$5:$C$44,MATCH(B572,Produtos!$A$5:$A$44,0)),0))</f>
        <v/>
      </c>
      <c r="F572" s="16" t="str">
        <f aca="false">IF(B572="","",C572*E572)</f>
        <v/>
      </c>
      <c r="G572" s="16" t="str">
        <f aca="false">IF(B572="","",C572*IFERROR(INDEX(Produtos!$D$5:$D$44,MATCH(B572,Produtos!$A$5:$A$44,0)),0))</f>
        <v/>
      </c>
      <c r="H572" s="16" t="str">
        <f aca="false">IF(B572="","",F572*IFERROR(INDEX(Despesas!$B$5:$B$8,MATCH(D572,Despesas!$A$5:$A$8,0)),0))</f>
        <v/>
      </c>
      <c r="I572" s="16" t="str">
        <f aca="false">IF(B572="","",F572-G572-H572)</f>
        <v/>
      </c>
    </row>
    <row r="573" customFormat="false" ht="15" hidden="false" customHeight="false" outlineLevel="0" collapsed="false">
      <c r="A573" s="34"/>
      <c r="B573" s="30"/>
      <c r="C573" s="30"/>
      <c r="D573" s="30"/>
      <c r="E573" s="16" t="str">
        <f aca="false">IF(B573="","",IFERROR(INDEX(Produtos!$C$5:$C$44,MATCH(B573,Produtos!$A$5:$A$44,0)),0))</f>
        <v/>
      </c>
      <c r="F573" s="16" t="str">
        <f aca="false">IF(B573="","",C573*E573)</f>
        <v/>
      </c>
      <c r="G573" s="16" t="str">
        <f aca="false">IF(B573="","",C573*IFERROR(INDEX(Produtos!$D$5:$D$44,MATCH(B573,Produtos!$A$5:$A$44,0)),0))</f>
        <v/>
      </c>
      <c r="H573" s="16" t="str">
        <f aca="false">IF(B573="","",F573*IFERROR(INDEX(Despesas!$B$5:$B$8,MATCH(D573,Despesas!$A$5:$A$8,0)),0))</f>
        <v/>
      </c>
      <c r="I573" s="16" t="str">
        <f aca="false">IF(B573="","",F573-G573-H573)</f>
        <v/>
      </c>
    </row>
    <row r="574" customFormat="false" ht="15" hidden="false" customHeight="false" outlineLevel="0" collapsed="false">
      <c r="A574" s="34"/>
      <c r="B574" s="30"/>
      <c r="C574" s="30"/>
      <c r="D574" s="30"/>
      <c r="E574" s="16" t="str">
        <f aca="false">IF(B574="","",IFERROR(INDEX(Produtos!$C$5:$C$44,MATCH(B574,Produtos!$A$5:$A$44,0)),0))</f>
        <v/>
      </c>
      <c r="F574" s="16" t="str">
        <f aca="false">IF(B574="","",C574*E574)</f>
        <v/>
      </c>
      <c r="G574" s="16" t="str">
        <f aca="false">IF(B574="","",C574*IFERROR(INDEX(Produtos!$D$5:$D$44,MATCH(B574,Produtos!$A$5:$A$44,0)),0))</f>
        <v/>
      </c>
      <c r="H574" s="16" t="str">
        <f aca="false">IF(B574="","",F574*IFERROR(INDEX(Despesas!$B$5:$B$8,MATCH(D574,Despesas!$A$5:$A$8,0)),0))</f>
        <v/>
      </c>
      <c r="I574" s="16" t="str">
        <f aca="false">IF(B574="","",F574-G574-H574)</f>
        <v/>
      </c>
    </row>
    <row r="575" customFormat="false" ht="15" hidden="false" customHeight="false" outlineLevel="0" collapsed="false">
      <c r="A575" s="34"/>
      <c r="B575" s="30"/>
      <c r="C575" s="30"/>
      <c r="D575" s="30"/>
      <c r="E575" s="16" t="str">
        <f aca="false">IF(B575="","",IFERROR(INDEX(Produtos!$C$5:$C$44,MATCH(B575,Produtos!$A$5:$A$44,0)),0))</f>
        <v/>
      </c>
      <c r="F575" s="16" t="str">
        <f aca="false">IF(B575="","",C575*E575)</f>
        <v/>
      </c>
      <c r="G575" s="16" t="str">
        <f aca="false">IF(B575="","",C575*IFERROR(INDEX(Produtos!$D$5:$D$44,MATCH(B575,Produtos!$A$5:$A$44,0)),0))</f>
        <v/>
      </c>
      <c r="H575" s="16" t="str">
        <f aca="false">IF(B575="","",F575*IFERROR(INDEX(Despesas!$B$5:$B$8,MATCH(D575,Despesas!$A$5:$A$8,0)),0))</f>
        <v/>
      </c>
      <c r="I575" s="16" t="str">
        <f aca="false">IF(B575="","",F575-G575-H575)</f>
        <v/>
      </c>
    </row>
    <row r="576" customFormat="false" ht="15" hidden="false" customHeight="false" outlineLevel="0" collapsed="false">
      <c r="A576" s="34"/>
      <c r="B576" s="30"/>
      <c r="C576" s="30"/>
      <c r="D576" s="30"/>
      <c r="E576" s="16" t="str">
        <f aca="false">IF(B576="","",IFERROR(INDEX(Produtos!$C$5:$C$44,MATCH(B576,Produtos!$A$5:$A$44,0)),0))</f>
        <v/>
      </c>
      <c r="F576" s="16" t="str">
        <f aca="false">IF(B576="","",C576*E576)</f>
        <v/>
      </c>
      <c r="G576" s="16" t="str">
        <f aca="false">IF(B576="","",C576*IFERROR(INDEX(Produtos!$D$5:$D$44,MATCH(B576,Produtos!$A$5:$A$44,0)),0))</f>
        <v/>
      </c>
      <c r="H576" s="16" t="str">
        <f aca="false">IF(B576="","",F576*IFERROR(INDEX(Despesas!$B$5:$B$8,MATCH(D576,Despesas!$A$5:$A$8,0)),0))</f>
        <v/>
      </c>
      <c r="I576" s="16" t="str">
        <f aca="false">IF(B576="","",F576-G576-H576)</f>
        <v/>
      </c>
    </row>
    <row r="577" customFormat="false" ht="15" hidden="false" customHeight="false" outlineLevel="0" collapsed="false">
      <c r="A577" s="34"/>
      <c r="B577" s="30"/>
      <c r="C577" s="30"/>
      <c r="D577" s="30"/>
      <c r="E577" s="16" t="str">
        <f aca="false">IF(B577="","",IFERROR(INDEX(Produtos!$C$5:$C$44,MATCH(B577,Produtos!$A$5:$A$44,0)),0))</f>
        <v/>
      </c>
      <c r="F577" s="16" t="str">
        <f aca="false">IF(B577="","",C577*E577)</f>
        <v/>
      </c>
      <c r="G577" s="16" t="str">
        <f aca="false">IF(B577="","",C577*IFERROR(INDEX(Produtos!$D$5:$D$44,MATCH(B577,Produtos!$A$5:$A$44,0)),0))</f>
        <v/>
      </c>
      <c r="H577" s="16" t="str">
        <f aca="false">IF(B577="","",F577*IFERROR(INDEX(Despesas!$B$5:$B$8,MATCH(D577,Despesas!$A$5:$A$8,0)),0))</f>
        <v/>
      </c>
      <c r="I577" s="16" t="str">
        <f aca="false">IF(B577="","",F577-G577-H577)</f>
        <v/>
      </c>
    </row>
    <row r="578" customFormat="false" ht="15" hidden="false" customHeight="false" outlineLevel="0" collapsed="false">
      <c r="A578" s="34"/>
      <c r="B578" s="30"/>
      <c r="C578" s="30"/>
      <c r="D578" s="30"/>
      <c r="E578" s="16" t="str">
        <f aca="false">IF(B578="","",IFERROR(INDEX(Produtos!$C$5:$C$44,MATCH(B578,Produtos!$A$5:$A$44,0)),0))</f>
        <v/>
      </c>
      <c r="F578" s="16" t="str">
        <f aca="false">IF(B578="","",C578*E578)</f>
        <v/>
      </c>
      <c r="G578" s="16" t="str">
        <f aca="false">IF(B578="","",C578*IFERROR(INDEX(Produtos!$D$5:$D$44,MATCH(B578,Produtos!$A$5:$A$44,0)),0))</f>
        <v/>
      </c>
      <c r="H578" s="16" t="str">
        <f aca="false">IF(B578="","",F578*IFERROR(INDEX(Despesas!$B$5:$B$8,MATCH(D578,Despesas!$A$5:$A$8,0)),0))</f>
        <v/>
      </c>
      <c r="I578" s="16" t="str">
        <f aca="false">IF(B578="","",F578-G578-H578)</f>
        <v/>
      </c>
    </row>
    <row r="579" customFormat="false" ht="15" hidden="false" customHeight="false" outlineLevel="0" collapsed="false">
      <c r="A579" s="34"/>
      <c r="B579" s="30"/>
      <c r="C579" s="30"/>
      <c r="D579" s="30"/>
      <c r="E579" s="16" t="str">
        <f aca="false">IF(B579="","",IFERROR(INDEX(Produtos!$C$5:$C$44,MATCH(B579,Produtos!$A$5:$A$44,0)),0))</f>
        <v/>
      </c>
      <c r="F579" s="16" t="str">
        <f aca="false">IF(B579="","",C579*E579)</f>
        <v/>
      </c>
      <c r="G579" s="16" t="str">
        <f aca="false">IF(B579="","",C579*IFERROR(INDEX(Produtos!$D$5:$D$44,MATCH(B579,Produtos!$A$5:$A$44,0)),0))</f>
        <v/>
      </c>
      <c r="H579" s="16" t="str">
        <f aca="false">IF(B579="","",F579*IFERROR(INDEX(Despesas!$B$5:$B$8,MATCH(D579,Despesas!$A$5:$A$8,0)),0))</f>
        <v/>
      </c>
      <c r="I579" s="16" t="str">
        <f aca="false">IF(B579="","",F579-G579-H579)</f>
        <v/>
      </c>
    </row>
    <row r="580" customFormat="false" ht="15" hidden="false" customHeight="false" outlineLevel="0" collapsed="false">
      <c r="A580" s="34"/>
      <c r="B580" s="30"/>
      <c r="C580" s="30"/>
      <c r="D580" s="30"/>
      <c r="E580" s="16" t="str">
        <f aca="false">IF(B580="","",IFERROR(INDEX(Produtos!$C$5:$C$44,MATCH(B580,Produtos!$A$5:$A$44,0)),0))</f>
        <v/>
      </c>
      <c r="F580" s="16" t="str">
        <f aca="false">IF(B580="","",C580*E580)</f>
        <v/>
      </c>
      <c r="G580" s="16" t="str">
        <f aca="false">IF(B580="","",C580*IFERROR(INDEX(Produtos!$D$5:$D$44,MATCH(B580,Produtos!$A$5:$A$44,0)),0))</f>
        <v/>
      </c>
      <c r="H580" s="16" t="str">
        <f aca="false">IF(B580="","",F580*IFERROR(INDEX(Despesas!$B$5:$B$8,MATCH(D580,Despesas!$A$5:$A$8,0)),0))</f>
        <v/>
      </c>
      <c r="I580" s="16" t="str">
        <f aca="false">IF(B580="","",F580-G580-H580)</f>
        <v/>
      </c>
    </row>
    <row r="581" customFormat="false" ht="15" hidden="false" customHeight="false" outlineLevel="0" collapsed="false">
      <c r="A581" s="34"/>
      <c r="B581" s="30"/>
      <c r="C581" s="30"/>
      <c r="D581" s="30"/>
      <c r="E581" s="16" t="str">
        <f aca="false">IF(B581="","",IFERROR(INDEX(Produtos!$C$5:$C$44,MATCH(B581,Produtos!$A$5:$A$44,0)),0))</f>
        <v/>
      </c>
      <c r="F581" s="16" t="str">
        <f aca="false">IF(B581="","",C581*E581)</f>
        <v/>
      </c>
      <c r="G581" s="16" t="str">
        <f aca="false">IF(B581="","",C581*IFERROR(INDEX(Produtos!$D$5:$D$44,MATCH(B581,Produtos!$A$5:$A$44,0)),0))</f>
        <v/>
      </c>
      <c r="H581" s="16" t="str">
        <f aca="false">IF(B581="","",F581*IFERROR(INDEX(Despesas!$B$5:$B$8,MATCH(D581,Despesas!$A$5:$A$8,0)),0))</f>
        <v/>
      </c>
      <c r="I581" s="16" t="str">
        <f aca="false">IF(B581="","",F581-G581-H581)</f>
        <v/>
      </c>
    </row>
    <row r="582" customFormat="false" ht="15" hidden="false" customHeight="false" outlineLevel="0" collapsed="false">
      <c r="A582" s="34"/>
      <c r="B582" s="30"/>
      <c r="C582" s="30"/>
      <c r="D582" s="30"/>
      <c r="E582" s="16" t="str">
        <f aca="false">IF(B582="","",IFERROR(INDEX(Produtos!$C$5:$C$44,MATCH(B582,Produtos!$A$5:$A$44,0)),0))</f>
        <v/>
      </c>
      <c r="F582" s="16" t="str">
        <f aca="false">IF(B582="","",C582*E582)</f>
        <v/>
      </c>
      <c r="G582" s="16" t="str">
        <f aca="false">IF(B582="","",C582*IFERROR(INDEX(Produtos!$D$5:$D$44,MATCH(B582,Produtos!$A$5:$A$44,0)),0))</f>
        <v/>
      </c>
      <c r="H582" s="16" t="str">
        <f aca="false">IF(B582="","",F582*IFERROR(INDEX(Despesas!$B$5:$B$8,MATCH(D582,Despesas!$A$5:$A$8,0)),0))</f>
        <v/>
      </c>
      <c r="I582" s="16" t="str">
        <f aca="false">IF(B582="","",F582-G582-H582)</f>
        <v/>
      </c>
    </row>
    <row r="583" customFormat="false" ht="15" hidden="false" customHeight="false" outlineLevel="0" collapsed="false">
      <c r="A583" s="34"/>
      <c r="B583" s="30"/>
      <c r="C583" s="30"/>
      <c r="D583" s="30"/>
      <c r="E583" s="16" t="str">
        <f aca="false">IF(B583="","",IFERROR(INDEX(Produtos!$C$5:$C$44,MATCH(B583,Produtos!$A$5:$A$44,0)),0))</f>
        <v/>
      </c>
      <c r="F583" s="16" t="str">
        <f aca="false">IF(B583="","",C583*E583)</f>
        <v/>
      </c>
      <c r="G583" s="16" t="str">
        <f aca="false">IF(B583="","",C583*IFERROR(INDEX(Produtos!$D$5:$D$44,MATCH(B583,Produtos!$A$5:$A$44,0)),0))</f>
        <v/>
      </c>
      <c r="H583" s="16" t="str">
        <f aca="false">IF(B583="","",F583*IFERROR(INDEX(Despesas!$B$5:$B$8,MATCH(D583,Despesas!$A$5:$A$8,0)),0))</f>
        <v/>
      </c>
      <c r="I583" s="16" t="str">
        <f aca="false">IF(B583="","",F583-G583-H583)</f>
        <v/>
      </c>
    </row>
    <row r="584" customFormat="false" ht="15" hidden="false" customHeight="false" outlineLevel="0" collapsed="false">
      <c r="A584" s="34"/>
      <c r="B584" s="30"/>
      <c r="C584" s="30"/>
      <c r="D584" s="30"/>
      <c r="E584" s="16" t="str">
        <f aca="false">IF(B584="","",IFERROR(INDEX(Produtos!$C$5:$C$44,MATCH(B584,Produtos!$A$5:$A$44,0)),0))</f>
        <v/>
      </c>
      <c r="F584" s="16" t="str">
        <f aca="false">IF(B584="","",C584*E584)</f>
        <v/>
      </c>
      <c r="G584" s="16" t="str">
        <f aca="false">IF(B584="","",C584*IFERROR(INDEX(Produtos!$D$5:$D$44,MATCH(B584,Produtos!$A$5:$A$44,0)),0))</f>
        <v/>
      </c>
      <c r="H584" s="16" t="str">
        <f aca="false">IF(B584="","",F584*IFERROR(INDEX(Despesas!$B$5:$B$8,MATCH(D584,Despesas!$A$5:$A$8,0)),0))</f>
        <v/>
      </c>
      <c r="I584" s="16" t="str">
        <f aca="false">IF(B584="","",F584-G584-H584)</f>
        <v/>
      </c>
    </row>
    <row r="585" customFormat="false" ht="15" hidden="false" customHeight="false" outlineLevel="0" collapsed="false">
      <c r="A585" s="34"/>
      <c r="B585" s="30"/>
      <c r="C585" s="30"/>
      <c r="D585" s="30"/>
      <c r="E585" s="16" t="str">
        <f aca="false">IF(B585="","",IFERROR(INDEX(Produtos!$C$5:$C$44,MATCH(B585,Produtos!$A$5:$A$44,0)),0))</f>
        <v/>
      </c>
      <c r="F585" s="16" t="str">
        <f aca="false">IF(B585="","",C585*E585)</f>
        <v/>
      </c>
      <c r="G585" s="16" t="str">
        <f aca="false">IF(B585="","",C585*IFERROR(INDEX(Produtos!$D$5:$D$44,MATCH(B585,Produtos!$A$5:$A$44,0)),0))</f>
        <v/>
      </c>
      <c r="H585" s="16" t="str">
        <f aca="false">IF(B585="","",F585*IFERROR(INDEX(Despesas!$B$5:$B$8,MATCH(D585,Despesas!$A$5:$A$8,0)),0))</f>
        <v/>
      </c>
      <c r="I585" s="16" t="str">
        <f aca="false">IF(B585="","",F585-G585-H585)</f>
        <v/>
      </c>
    </row>
    <row r="586" customFormat="false" ht="15" hidden="false" customHeight="false" outlineLevel="0" collapsed="false">
      <c r="A586" s="34"/>
      <c r="B586" s="30"/>
      <c r="C586" s="30"/>
      <c r="D586" s="30"/>
      <c r="E586" s="16" t="str">
        <f aca="false">IF(B586="","",IFERROR(INDEX(Produtos!$C$5:$C$44,MATCH(B586,Produtos!$A$5:$A$44,0)),0))</f>
        <v/>
      </c>
      <c r="F586" s="16" t="str">
        <f aca="false">IF(B586="","",C586*E586)</f>
        <v/>
      </c>
      <c r="G586" s="16" t="str">
        <f aca="false">IF(B586="","",C586*IFERROR(INDEX(Produtos!$D$5:$D$44,MATCH(B586,Produtos!$A$5:$A$44,0)),0))</f>
        <v/>
      </c>
      <c r="H586" s="16" t="str">
        <f aca="false">IF(B586="","",F586*IFERROR(INDEX(Despesas!$B$5:$B$8,MATCH(D586,Despesas!$A$5:$A$8,0)),0))</f>
        <v/>
      </c>
      <c r="I586" s="16" t="str">
        <f aca="false">IF(B586="","",F586-G586-H586)</f>
        <v/>
      </c>
    </row>
    <row r="587" customFormat="false" ht="15" hidden="false" customHeight="false" outlineLevel="0" collapsed="false">
      <c r="A587" s="34"/>
      <c r="B587" s="30"/>
      <c r="C587" s="30"/>
      <c r="D587" s="30"/>
      <c r="E587" s="16" t="str">
        <f aca="false">IF(B587="","",IFERROR(INDEX(Produtos!$C$5:$C$44,MATCH(B587,Produtos!$A$5:$A$44,0)),0))</f>
        <v/>
      </c>
      <c r="F587" s="16" t="str">
        <f aca="false">IF(B587="","",C587*E587)</f>
        <v/>
      </c>
      <c r="G587" s="16" t="str">
        <f aca="false">IF(B587="","",C587*IFERROR(INDEX(Produtos!$D$5:$D$44,MATCH(B587,Produtos!$A$5:$A$44,0)),0))</f>
        <v/>
      </c>
      <c r="H587" s="16" t="str">
        <f aca="false">IF(B587="","",F587*IFERROR(INDEX(Despesas!$B$5:$B$8,MATCH(D587,Despesas!$A$5:$A$8,0)),0))</f>
        <v/>
      </c>
      <c r="I587" s="16" t="str">
        <f aca="false">IF(B587="","",F587-G587-H587)</f>
        <v/>
      </c>
    </row>
    <row r="588" customFormat="false" ht="15" hidden="false" customHeight="false" outlineLevel="0" collapsed="false">
      <c r="A588" s="34"/>
      <c r="B588" s="30"/>
      <c r="C588" s="30"/>
      <c r="D588" s="30"/>
      <c r="E588" s="16" t="str">
        <f aca="false">IF(B588="","",IFERROR(INDEX(Produtos!$C$5:$C$44,MATCH(B588,Produtos!$A$5:$A$44,0)),0))</f>
        <v/>
      </c>
      <c r="F588" s="16" t="str">
        <f aca="false">IF(B588="","",C588*E588)</f>
        <v/>
      </c>
      <c r="G588" s="16" t="str">
        <f aca="false">IF(B588="","",C588*IFERROR(INDEX(Produtos!$D$5:$D$44,MATCH(B588,Produtos!$A$5:$A$44,0)),0))</f>
        <v/>
      </c>
      <c r="H588" s="16" t="str">
        <f aca="false">IF(B588="","",F588*IFERROR(INDEX(Despesas!$B$5:$B$8,MATCH(D588,Despesas!$A$5:$A$8,0)),0))</f>
        <v/>
      </c>
      <c r="I588" s="16" t="str">
        <f aca="false">IF(B588="","",F588-G588-H588)</f>
        <v/>
      </c>
    </row>
    <row r="589" customFormat="false" ht="15" hidden="false" customHeight="false" outlineLevel="0" collapsed="false">
      <c r="A589" s="34"/>
      <c r="B589" s="30"/>
      <c r="C589" s="30"/>
      <c r="D589" s="30"/>
      <c r="E589" s="16" t="str">
        <f aca="false">IF(B589="","",IFERROR(INDEX(Produtos!$C$5:$C$44,MATCH(B589,Produtos!$A$5:$A$44,0)),0))</f>
        <v/>
      </c>
      <c r="F589" s="16" t="str">
        <f aca="false">IF(B589="","",C589*E589)</f>
        <v/>
      </c>
      <c r="G589" s="16" t="str">
        <f aca="false">IF(B589="","",C589*IFERROR(INDEX(Produtos!$D$5:$D$44,MATCH(B589,Produtos!$A$5:$A$44,0)),0))</f>
        <v/>
      </c>
      <c r="H589" s="16" t="str">
        <f aca="false">IF(B589="","",F589*IFERROR(INDEX(Despesas!$B$5:$B$8,MATCH(D589,Despesas!$A$5:$A$8,0)),0))</f>
        <v/>
      </c>
      <c r="I589" s="16" t="str">
        <f aca="false">IF(B589="","",F589-G589-H589)</f>
        <v/>
      </c>
    </row>
    <row r="590" customFormat="false" ht="15" hidden="false" customHeight="false" outlineLevel="0" collapsed="false">
      <c r="A590" s="34"/>
      <c r="B590" s="30"/>
      <c r="C590" s="30"/>
      <c r="D590" s="30"/>
      <c r="E590" s="16" t="str">
        <f aca="false">IF(B590="","",IFERROR(INDEX(Produtos!$C$5:$C$44,MATCH(B590,Produtos!$A$5:$A$44,0)),0))</f>
        <v/>
      </c>
      <c r="F590" s="16" t="str">
        <f aca="false">IF(B590="","",C590*E590)</f>
        <v/>
      </c>
      <c r="G590" s="16" t="str">
        <f aca="false">IF(B590="","",C590*IFERROR(INDEX(Produtos!$D$5:$D$44,MATCH(B590,Produtos!$A$5:$A$44,0)),0))</f>
        <v/>
      </c>
      <c r="H590" s="16" t="str">
        <f aca="false">IF(B590="","",F590*IFERROR(INDEX(Despesas!$B$5:$B$8,MATCH(D590,Despesas!$A$5:$A$8,0)),0))</f>
        <v/>
      </c>
      <c r="I590" s="16" t="str">
        <f aca="false">IF(B590="","",F590-G590-H590)</f>
        <v/>
      </c>
    </row>
    <row r="591" customFormat="false" ht="15" hidden="false" customHeight="false" outlineLevel="0" collapsed="false">
      <c r="A591" s="34"/>
      <c r="B591" s="30"/>
      <c r="C591" s="30"/>
      <c r="D591" s="30"/>
      <c r="E591" s="16" t="str">
        <f aca="false">IF(B591="","",IFERROR(INDEX(Produtos!$C$5:$C$44,MATCH(B591,Produtos!$A$5:$A$44,0)),0))</f>
        <v/>
      </c>
      <c r="F591" s="16" t="str">
        <f aca="false">IF(B591="","",C591*E591)</f>
        <v/>
      </c>
      <c r="G591" s="16" t="str">
        <f aca="false">IF(B591="","",C591*IFERROR(INDEX(Produtos!$D$5:$D$44,MATCH(B591,Produtos!$A$5:$A$44,0)),0))</f>
        <v/>
      </c>
      <c r="H591" s="16" t="str">
        <f aca="false">IF(B591="","",F591*IFERROR(INDEX(Despesas!$B$5:$B$8,MATCH(D591,Despesas!$A$5:$A$8,0)),0))</f>
        <v/>
      </c>
      <c r="I591" s="16" t="str">
        <f aca="false">IF(B591="","",F591-G591-H591)</f>
        <v/>
      </c>
    </row>
    <row r="592" customFormat="false" ht="15" hidden="false" customHeight="false" outlineLevel="0" collapsed="false">
      <c r="A592" s="34"/>
      <c r="B592" s="30"/>
      <c r="C592" s="30"/>
      <c r="D592" s="30"/>
      <c r="E592" s="16" t="str">
        <f aca="false">IF(B592="","",IFERROR(INDEX(Produtos!$C$5:$C$44,MATCH(B592,Produtos!$A$5:$A$44,0)),0))</f>
        <v/>
      </c>
      <c r="F592" s="16" t="str">
        <f aca="false">IF(B592="","",C592*E592)</f>
        <v/>
      </c>
      <c r="G592" s="16" t="str">
        <f aca="false">IF(B592="","",C592*IFERROR(INDEX(Produtos!$D$5:$D$44,MATCH(B592,Produtos!$A$5:$A$44,0)),0))</f>
        <v/>
      </c>
      <c r="H592" s="16" t="str">
        <f aca="false">IF(B592="","",F592*IFERROR(INDEX(Despesas!$B$5:$B$8,MATCH(D592,Despesas!$A$5:$A$8,0)),0))</f>
        <v/>
      </c>
      <c r="I592" s="16" t="str">
        <f aca="false">IF(B592="","",F592-G592-H592)</f>
        <v/>
      </c>
    </row>
    <row r="593" customFormat="false" ht="15" hidden="false" customHeight="false" outlineLevel="0" collapsed="false">
      <c r="A593" s="34"/>
      <c r="B593" s="30"/>
      <c r="C593" s="30"/>
      <c r="D593" s="30"/>
      <c r="E593" s="16" t="str">
        <f aca="false">IF(B593="","",IFERROR(INDEX(Produtos!$C$5:$C$44,MATCH(B593,Produtos!$A$5:$A$44,0)),0))</f>
        <v/>
      </c>
      <c r="F593" s="16" t="str">
        <f aca="false">IF(B593="","",C593*E593)</f>
        <v/>
      </c>
      <c r="G593" s="16" t="str">
        <f aca="false">IF(B593="","",C593*IFERROR(INDEX(Produtos!$D$5:$D$44,MATCH(B593,Produtos!$A$5:$A$44,0)),0))</f>
        <v/>
      </c>
      <c r="H593" s="16" t="str">
        <f aca="false">IF(B593="","",F593*IFERROR(INDEX(Despesas!$B$5:$B$8,MATCH(D593,Despesas!$A$5:$A$8,0)),0))</f>
        <v/>
      </c>
      <c r="I593" s="16" t="str">
        <f aca="false">IF(B593="","",F593-G593-H593)</f>
        <v/>
      </c>
    </row>
    <row r="594" customFormat="false" ht="15" hidden="false" customHeight="false" outlineLevel="0" collapsed="false">
      <c r="A594" s="34"/>
      <c r="B594" s="30"/>
      <c r="C594" s="30"/>
      <c r="D594" s="30"/>
      <c r="E594" s="16" t="str">
        <f aca="false">IF(B594="","",IFERROR(INDEX(Produtos!$C$5:$C$44,MATCH(B594,Produtos!$A$5:$A$44,0)),0))</f>
        <v/>
      </c>
      <c r="F594" s="16" t="str">
        <f aca="false">IF(B594="","",C594*E594)</f>
        <v/>
      </c>
      <c r="G594" s="16" t="str">
        <f aca="false">IF(B594="","",C594*IFERROR(INDEX(Produtos!$D$5:$D$44,MATCH(B594,Produtos!$A$5:$A$44,0)),0))</f>
        <v/>
      </c>
      <c r="H594" s="16" t="str">
        <f aca="false">IF(B594="","",F594*IFERROR(INDEX(Despesas!$B$5:$B$8,MATCH(D594,Despesas!$A$5:$A$8,0)),0))</f>
        <v/>
      </c>
      <c r="I594" s="16" t="str">
        <f aca="false">IF(B594="","",F594-G594-H594)</f>
        <v/>
      </c>
    </row>
    <row r="595" customFormat="false" ht="15" hidden="false" customHeight="false" outlineLevel="0" collapsed="false">
      <c r="A595" s="34"/>
      <c r="B595" s="30"/>
      <c r="C595" s="30"/>
      <c r="D595" s="30"/>
      <c r="E595" s="16" t="str">
        <f aca="false">IF(B595="","",IFERROR(INDEX(Produtos!$C$5:$C$44,MATCH(B595,Produtos!$A$5:$A$44,0)),0))</f>
        <v/>
      </c>
      <c r="F595" s="16" t="str">
        <f aca="false">IF(B595="","",C595*E595)</f>
        <v/>
      </c>
      <c r="G595" s="16" t="str">
        <f aca="false">IF(B595="","",C595*IFERROR(INDEX(Produtos!$D$5:$D$44,MATCH(B595,Produtos!$A$5:$A$44,0)),0))</f>
        <v/>
      </c>
      <c r="H595" s="16" t="str">
        <f aca="false">IF(B595="","",F595*IFERROR(INDEX(Despesas!$B$5:$B$8,MATCH(D595,Despesas!$A$5:$A$8,0)),0))</f>
        <v/>
      </c>
      <c r="I595" s="16" t="str">
        <f aca="false">IF(B595="","",F595-G595-H595)</f>
        <v/>
      </c>
    </row>
    <row r="596" customFormat="false" ht="15" hidden="false" customHeight="false" outlineLevel="0" collapsed="false">
      <c r="A596" s="34"/>
      <c r="B596" s="30"/>
      <c r="C596" s="30"/>
      <c r="D596" s="30"/>
      <c r="E596" s="16" t="str">
        <f aca="false">IF(B596="","",IFERROR(INDEX(Produtos!$C$5:$C$44,MATCH(B596,Produtos!$A$5:$A$44,0)),0))</f>
        <v/>
      </c>
      <c r="F596" s="16" t="str">
        <f aca="false">IF(B596="","",C596*E596)</f>
        <v/>
      </c>
      <c r="G596" s="16" t="str">
        <f aca="false">IF(B596="","",C596*IFERROR(INDEX(Produtos!$D$5:$D$44,MATCH(B596,Produtos!$A$5:$A$44,0)),0))</f>
        <v/>
      </c>
      <c r="H596" s="16" t="str">
        <f aca="false">IF(B596="","",F596*IFERROR(INDEX(Despesas!$B$5:$B$8,MATCH(D596,Despesas!$A$5:$A$8,0)),0))</f>
        <v/>
      </c>
      <c r="I596" s="16" t="str">
        <f aca="false">IF(B596="","",F596-G596-H596)</f>
        <v/>
      </c>
    </row>
    <row r="597" customFormat="false" ht="15" hidden="false" customHeight="false" outlineLevel="0" collapsed="false">
      <c r="A597" s="34"/>
      <c r="B597" s="30"/>
      <c r="C597" s="30"/>
      <c r="D597" s="30"/>
      <c r="E597" s="16" t="str">
        <f aca="false">IF(B597="","",IFERROR(INDEX(Produtos!$C$5:$C$44,MATCH(B597,Produtos!$A$5:$A$44,0)),0))</f>
        <v/>
      </c>
      <c r="F597" s="16" t="str">
        <f aca="false">IF(B597="","",C597*E597)</f>
        <v/>
      </c>
      <c r="G597" s="16" t="str">
        <f aca="false">IF(B597="","",C597*IFERROR(INDEX(Produtos!$D$5:$D$44,MATCH(B597,Produtos!$A$5:$A$44,0)),0))</f>
        <v/>
      </c>
      <c r="H597" s="16" t="str">
        <f aca="false">IF(B597="","",F597*IFERROR(INDEX(Despesas!$B$5:$B$8,MATCH(D597,Despesas!$A$5:$A$8,0)),0))</f>
        <v/>
      </c>
      <c r="I597" s="16" t="str">
        <f aca="false">IF(B597="","",F597-G597-H597)</f>
        <v/>
      </c>
    </row>
    <row r="598" customFormat="false" ht="15" hidden="false" customHeight="false" outlineLevel="0" collapsed="false">
      <c r="A598" s="34"/>
      <c r="B598" s="30"/>
      <c r="C598" s="30"/>
      <c r="D598" s="30"/>
      <c r="E598" s="16" t="str">
        <f aca="false">IF(B598="","",IFERROR(INDEX(Produtos!$C$5:$C$44,MATCH(B598,Produtos!$A$5:$A$44,0)),0))</f>
        <v/>
      </c>
      <c r="F598" s="16" t="str">
        <f aca="false">IF(B598="","",C598*E598)</f>
        <v/>
      </c>
      <c r="G598" s="16" t="str">
        <f aca="false">IF(B598="","",C598*IFERROR(INDEX(Produtos!$D$5:$D$44,MATCH(B598,Produtos!$A$5:$A$44,0)),0))</f>
        <v/>
      </c>
      <c r="H598" s="16" t="str">
        <f aca="false">IF(B598="","",F598*IFERROR(INDEX(Despesas!$B$5:$B$8,MATCH(D598,Despesas!$A$5:$A$8,0)),0))</f>
        <v/>
      </c>
      <c r="I598" s="16" t="str">
        <f aca="false">IF(B598="","",F598-G598-H598)</f>
        <v/>
      </c>
    </row>
    <row r="599" customFormat="false" ht="15" hidden="false" customHeight="false" outlineLevel="0" collapsed="false">
      <c r="A599" s="34"/>
      <c r="B599" s="30"/>
      <c r="C599" s="30"/>
      <c r="D599" s="30"/>
      <c r="E599" s="16" t="str">
        <f aca="false">IF(B599="","",IFERROR(INDEX(Produtos!$C$5:$C$44,MATCH(B599,Produtos!$A$5:$A$44,0)),0))</f>
        <v/>
      </c>
      <c r="F599" s="16" t="str">
        <f aca="false">IF(B599="","",C599*E599)</f>
        <v/>
      </c>
      <c r="G599" s="16" t="str">
        <f aca="false">IF(B599="","",C599*IFERROR(INDEX(Produtos!$D$5:$D$44,MATCH(B599,Produtos!$A$5:$A$44,0)),0))</f>
        <v/>
      </c>
      <c r="H599" s="16" t="str">
        <f aca="false">IF(B599="","",F599*IFERROR(INDEX(Despesas!$B$5:$B$8,MATCH(D599,Despesas!$A$5:$A$8,0)),0))</f>
        <v/>
      </c>
      <c r="I599" s="16" t="str">
        <f aca="false">IF(B599="","",F599-G599-H599)</f>
        <v/>
      </c>
    </row>
    <row r="600" customFormat="false" ht="15" hidden="false" customHeight="false" outlineLevel="0" collapsed="false">
      <c r="A600" s="34"/>
      <c r="B600" s="30"/>
      <c r="C600" s="30"/>
      <c r="D600" s="30"/>
      <c r="E600" s="16" t="str">
        <f aca="false">IF(B600="","",IFERROR(INDEX(Produtos!$C$5:$C$44,MATCH(B600,Produtos!$A$5:$A$44,0)),0))</f>
        <v/>
      </c>
      <c r="F600" s="16" t="str">
        <f aca="false">IF(B600="","",C600*E600)</f>
        <v/>
      </c>
      <c r="G600" s="16" t="str">
        <f aca="false">IF(B600="","",C600*IFERROR(INDEX(Produtos!$D$5:$D$44,MATCH(B600,Produtos!$A$5:$A$44,0)),0))</f>
        <v/>
      </c>
      <c r="H600" s="16" t="str">
        <f aca="false">IF(B600="","",F600*IFERROR(INDEX(Despesas!$B$5:$B$8,MATCH(D600,Despesas!$A$5:$A$8,0)),0))</f>
        <v/>
      </c>
      <c r="I600" s="16" t="str">
        <f aca="false">IF(B600="","",F600-G600-H600)</f>
        <v/>
      </c>
    </row>
    <row r="601" customFormat="false" ht="15" hidden="false" customHeight="false" outlineLevel="0" collapsed="false">
      <c r="A601" s="34"/>
      <c r="B601" s="30"/>
      <c r="C601" s="30"/>
      <c r="D601" s="30"/>
      <c r="E601" s="16" t="str">
        <f aca="false">IF(B601="","",IFERROR(INDEX(Produtos!$C$5:$C$44,MATCH(B601,Produtos!$A$5:$A$44,0)),0))</f>
        <v/>
      </c>
      <c r="F601" s="16" t="str">
        <f aca="false">IF(B601="","",C601*E601)</f>
        <v/>
      </c>
      <c r="G601" s="16" t="str">
        <f aca="false">IF(B601="","",C601*IFERROR(INDEX(Produtos!$D$5:$D$44,MATCH(B601,Produtos!$A$5:$A$44,0)),0))</f>
        <v/>
      </c>
      <c r="H601" s="16" t="str">
        <f aca="false">IF(B601="","",F601*IFERROR(INDEX(Despesas!$B$5:$B$8,MATCH(D601,Despesas!$A$5:$A$8,0)),0))</f>
        <v/>
      </c>
      <c r="I601" s="16" t="str">
        <f aca="false">IF(B601="","",F601-G601-H601)</f>
        <v/>
      </c>
    </row>
    <row r="602" customFormat="false" ht="15" hidden="false" customHeight="false" outlineLevel="0" collapsed="false">
      <c r="A602" s="34"/>
      <c r="B602" s="30"/>
      <c r="C602" s="30"/>
      <c r="D602" s="30"/>
      <c r="E602" s="16" t="str">
        <f aca="false">IF(B602="","",IFERROR(INDEX(Produtos!$C$5:$C$44,MATCH(B602,Produtos!$A$5:$A$44,0)),0))</f>
        <v/>
      </c>
      <c r="F602" s="16" t="str">
        <f aca="false">IF(B602="","",C602*E602)</f>
        <v/>
      </c>
      <c r="G602" s="16" t="str">
        <f aca="false">IF(B602="","",C602*IFERROR(INDEX(Produtos!$D$5:$D$44,MATCH(B602,Produtos!$A$5:$A$44,0)),0))</f>
        <v/>
      </c>
      <c r="H602" s="16" t="str">
        <f aca="false">IF(B602="","",F602*IFERROR(INDEX(Despesas!$B$5:$B$8,MATCH(D602,Despesas!$A$5:$A$8,0)),0))</f>
        <v/>
      </c>
      <c r="I602" s="16" t="str">
        <f aca="false">IF(B602="","",F602-G602-H602)</f>
        <v/>
      </c>
    </row>
    <row r="603" customFormat="false" ht="15" hidden="false" customHeight="false" outlineLevel="0" collapsed="false">
      <c r="A603" s="34"/>
      <c r="B603" s="30"/>
      <c r="C603" s="30"/>
      <c r="D603" s="30"/>
      <c r="E603" s="16" t="str">
        <f aca="false">IF(B603="","",IFERROR(INDEX(Produtos!$C$5:$C$44,MATCH(B603,Produtos!$A$5:$A$44,0)),0))</f>
        <v/>
      </c>
      <c r="F603" s="16" t="str">
        <f aca="false">IF(B603="","",C603*E603)</f>
        <v/>
      </c>
      <c r="G603" s="16" t="str">
        <f aca="false">IF(B603="","",C603*IFERROR(INDEX(Produtos!$D$5:$D$44,MATCH(B603,Produtos!$A$5:$A$44,0)),0))</f>
        <v/>
      </c>
      <c r="H603" s="16" t="str">
        <f aca="false">IF(B603="","",F603*IFERROR(INDEX(Despesas!$B$5:$B$8,MATCH(D603,Despesas!$A$5:$A$8,0)),0))</f>
        <v/>
      </c>
      <c r="I603" s="16" t="str">
        <f aca="false">IF(B603="","",F603-G603-H603)</f>
        <v/>
      </c>
    </row>
    <row r="604" customFormat="false" ht="15" hidden="false" customHeight="false" outlineLevel="0" collapsed="false">
      <c r="A604" s="34"/>
      <c r="B604" s="30"/>
      <c r="C604" s="30"/>
      <c r="D604" s="30"/>
      <c r="E604" s="16" t="str">
        <f aca="false">IF(B604="","",IFERROR(INDEX(Produtos!$C$5:$C$44,MATCH(B604,Produtos!$A$5:$A$44,0)),0))</f>
        <v/>
      </c>
      <c r="F604" s="16" t="str">
        <f aca="false">IF(B604="","",C604*E604)</f>
        <v/>
      </c>
      <c r="G604" s="16" t="str">
        <f aca="false">IF(B604="","",C604*IFERROR(INDEX(Produtos!$D$5:$D$44,MATCH(B604,Produtos!$A$5:$A$44,0)),0))</f>
        <v/>
      </c>
      <c r="H604" s="16" t="str">
        <f aca="false">IF(B604="","",F604*IFERROR(INDEX(Despesas!$B$5:$B$8,MATCH(D604,Despesas!$A$5:$A$8,0)),0))</f>
        <v/>
      </c>
      <c r="I604" s="16" t="str">
        <f aca="false">IF(B604="","",F604-G604-H604)</f>
        <v/>
      </c>
    </row>
    <row r="605" customFormat="false" ht="15" hidden="false" customHeight="false" outlineLevel="0" collapsed="false">
      <c r="A605" s="34"/>
      <c r="B605" s="30"/>
      <c r="C605" s="30"/>
      <c r="D605" s="30"/>
      <c r="E605" s="16" t="str">
        <f aca="false">IF(B605="","",IFERROR(INDEX(Produtos!$C$5:$C$44,MATCH(B605,Produtos!$A$5:$A$44,0)),0))</f>
        <v/>
      </c>
      <c r="F605" s="16" t="str">
        <f aca="false">IF(B605="","",C605*E605)</f>
        <v/>
      </c>
      <c r="G605" s="16" t="str">
        <f aca="false">IF(B605="","",C605*IFERROR(INDEX(Produtos!$D$5:$D$44,MATCH(B605,Produtos!$A$5:$A$44,0)),0))</f>
        <v/>
      </c>
      <c r="H605" s="16" t="str">
        <f aca="false">IF(B605="","",F605*IFERROR(INDEX(Despesas!$B$5:$B$8,MATCH(D605,Despesas!$A$5:$A$8,0)),0))</f>
        <v/>
      </c>
      <c r="I605" s="16" t="str">
        <f aca="false">IF(B605="","",F605-G605-H605)</f>
        <v/>
      </c>
    </row>
    <row r="606" customFormat="false" ht="15" hidden="false" customHeight="false" outlineLevel="0" collapsed="false">
      <c r="A606" s="34"/>
      <c r="B606" s="30"/>
      <c r="C606" s="30"/>
      <c r="D606" s="30"/>
      <c r="E606" s="16" t="str">
        <f aca="false">IF(B606="","",IFERROR(INDEX(Produtos!$C$5:$C$44,MATCH(B606,Produtos!$A$5:$A$44,0)),0))</f>
        <v/>
      </c>
      <c r="F606" s="16" t="str">
        <f aca="false">IF(B606="","",C606*E606)</f>
        <v/>
      </c>
      <c r="G606" s="16" t="str">
        <f aca="false">IF(B606="","",C606*IFERROR(INDEX(Produtos!$D$5:$D$44,MATCH(B606,Produtos!$A$5:$A$44,0)),0))</f>
        <v/>
      </c>
      <c r="H606" s="16" t="str">
        <f aca="false">IF(B606="","",F606*IFERROR(INDEX(Despesas!$B$5:$B$8,MATCH(D606,Despesas!$A$5:$A$8,0)),0))</f>
        <v/>
      </c>
      <c r="I606" s="16" t="str">
        <f aca="false">IF(B606="","",F606-G606-H606)</f>
        <v/>
      </c>
    </row>
    <row r="607" customFormat="false" ht="15" hidden="false" customHeight="false" outlineLevel="0" collapsed="false">
      <c r="A607" s="34"/>
      <c r="B607" s="30"/>
      <c r="C607" s="30"/>
      <c r="D607" s="30"/>
      <c r="E607" s="16" t="str">
        <f aca="false">IF(B607="","",IFERROR(INDEX(Produtos!$C$5:$C$44,MATCH(B607,Produtos!$A$5:$A$44,0)),0))</f>
        <v/>
      </c>
      <c r="F607" s="16" t="str">
        <f aca="false">IF(B607="","",C607*E607)</f>
        <v/>
      </c>
      <c r="G607" s="16" t="str">
        <f aca="false">IF(B607="","",C607*IFERROR(INDEX(Produtos!$D$5:$D$44,MATCH(B607,Produtos!$A$5:$A$44,0)),0))</f>
        <v/>
      </c>
      <c r="H607" s="16" t="str">
        <f aca="false">IF(B607="","",F607*IFERROR(INDEX(Despesas!$B$5:$B$8,MATCH(D607,Despesas!$A$5:$A$8,0)),0))</f>
        <v/>
      </c>
      <c r="I607" s="16" t="str">
        <f aca="false">IF(B607="","",F607-G607-H607)</f>
        <v/>
      </c>
    </row>
    <row r="608" customFormat="false" ht="15" hidden="false" customHeight="false" outlineLevel="0" collapsed="false">
      <c r="A608" s="34"/>
      <c r="B608" s="30"/>
      <c r="C608" s="30"/>
      <c r="D608" s="30"/>
      <c r="E608" s="16" t="str">
        <f aca="false">IF(B608="","",IFERROR(INDEX(Produtos!$C$5:$C$44,MATCH(B608,Produtos!$A$5:$A$44,0)),0))</f>
        <v/>
      </c>
      <c r="F608" s="16" t="str">
        <f aca="false">IF(B608="","",C608*E608)</f>
        <v/>
      </c>
      <c r="G608" s="16" t="str">
        <f aca="false">IF(B608="","",C608*IFERROR(INDEX(Produtos!$D$5:$D$44,MATCH(B608,Produtos!$A$5:$A$44,0)),0))</f>
        <v/>
      </c>
      <c r="H608" s="16" t="str">
        <f aca="false">IF(B608="","",F608*IFERROR(INDEX(Despesas!$B$5:$B$8,MATCH(D608,Despesas!$A$5:$A$8,0)),0))</f>
        <v/>
      </c>
      <c r="I608" s="16" t="str">
        <f aca="false">IF(B608="","",F608-G608-H608)</f>
        <v/>
      </c>
    </row>
    <row r="609" customFormat="false" ht="15" hidden="false" customHeight="false" outlineLevel="0" collapsed="false">
      <c r="A609" s="34"/>
      <c r="B609" s="30"/>
      <c r="C609" s="30"/>
      <c r="D609" s="30"/>
      <c r="E609" s="16" t="str">
        <f aca="false">IF(B609="","",IFERROR(INDEX(Produtos!$C$5:$C$44,MATCH(B609,Produtos!$A$5:$A$44,0)),0))</f>
        <v/>
      </c>
      <c r="F609" s="16" t="str">
        <f aca="false">IF(B609="","",C609*E609)</f>
        <v/>
      </c>
      <c r="G609" s="16" t="str">
        <f aca="false">IF(B609="","",C609*IFERROR(INDEX(Produtos!$D$5:$D$44,MATCH(B609,Produtos!$A$5:$A$44,0)),0))</f>
        <v/>
      </c>
      <c r="H609" s="16" t="str">
        <f aca="false">IF(B609="","",F609*IFERROR(INDEX(Despesas!$B$5:$B$8,MATCH(D609,Despesas!$A$5:$A$8,0)),0))</f>
        <v/>
      </c>
      <c r="I609" s="16" t="str">
        <f aca="false">IF(B609="","",F609-G609-H609)</f>
        <v/>
      </c>
    </row>
    <row r="610" customFormat="false" ht="15" hidden="false" customHeight="false" outlineLevel="0" collapsed="false">
      <c r="A610" s="34"/>
      <c r="B610" s="30"/>
      <c r="C610" s="30"/>
      <c r="D610" s="30"/>
      <c r="E610" s="16" t="str">
        <f aca="false">IF(B610="","",IFERROR(INDEX(Produtos!$C$5:$C$44,MATCH(B610,Produtos!$A$5:$A$44,0)),0))</f>
        <v/>
      </c>
      <c r="F610" s="16" t="str">
        <f aca="false">IF(B610="","",C610*E610)</f>
        <v/>
      </c>
      <c r="G610" s="16" t="str">
        <f aca="false">IF(B610="","",C610*IFERROR(INDEX(Produtos!$D$5:$D$44,MATCH(B610,Produtos!$A$5:$A$44,0)),0))</f>
        <v/>
      </c>
      <c r="H610" s="16" t="str">
        <f aca="false">IF(B610="","",F610*IFERROR(INDEX(Despesas!$B$5:$B$8,MATCH(D610,Despesas!$A$5:$A$8,0)),0))</f>
        <v/>
      </c>
      <c r="I610" s="16" t="str">
        <f aca="false">IF(B610="","",F610-G610-H610)</f>
        <v/>
      </c>
    </row>
    <row r="611" customFormat="false" ht="15" hidden="false" customHeight="false" outlineLevel="0" collapsed="false">
      <c r="A611" s="34"/>
      <c r="B611" s="30"/>
      <c r="C611" s="30"/>
      <c r="D611" s="30"/>
      <c r="E611" s="16" t="str">
        <f aca="false">IF(B611="","",IFERROR(INDEX(Produtos!$C$5:$C$44,MATCH(B611,Produtos!$A$5:$A$44,0)),0))</f>
        <v/>
      </c>
      <c r="F611" s="16" t="str">
        <f aca="false">IF(B611="","",C611*E611)</f>
        <v/>
      </c>
      <c r="G611" s="16" t="str">
        <f aca="false">IF(B611="","",C611*IFERROR(INDEX(Produtos!$D$5:$D$44,MATCH(B611,Produtos!$A$5:$A$44,0)),0))</f>
        <v/>
      </c>
      <c r="H611" s="16" t="str">
        <f aca="false">IF(B611="","",F611*IFERROR(INDEX(Despesas!$B$5:$B$8,MATCH(D611,Despesas!$A$5:$A$8,0)),0))</f>
        <v/>
      </c>
      <c r="I611" s="16" t="str">
        <f aca="false">IF(B611="","",F611-G611-H611)</f>
        <v/>
      </c>
    </row>
    <row r="612" customFormat="false" ht="15" hidden="false" customHeight="false" outlineLevel="0" collapsed="false">
      <c r="A612" s="34"/>
      <c r="B612" s="30"/>
      <c r="C612" s="30"/>
      <c r="D612" s="30"/>
      <c r="E612" s="16" t="str">
        <f aca="false">IF(B612="","",IFERROR(INDEX(Produtos!$C$5:$C$44,MATCH(B612,Produtos!$A$5:$A$44,0)),0))</f>
        <v/>
      </c>
      <c r="F612" s="16" t="str">
        <f aca="false">IF(B612="","",C612*E612)</f>
        <v/>
      </c>
      <c r="G612" s="16" t="str">
        <f aca="false">IF(B612="","",C612*IFERROR(INDEX(Produtos!$D$5:$D$44,MATCH(B612,Produtos!$A$5:$A$44,0)),0))</f>
        <v/>
      </c>
      <c r="H612" s="16" t="str">
        <f aca="false">IF(B612="","",F612*IFERROR(INDEX(Despesas!$B$5:$B$8,MATCH(D612,Despesas!$A$5:$A$8,0)),0))</f>
        <v/>
      </c>
      <c r="I612" s="16" t="str">
        <f aca="false">IF(B612="","",F612-G612-H612)</f>
        <v/>
      </c>
    </row>
    <row r="613" customFormat="false" ht="15" hidden="false" customHeight="false" outlineLevel="0" collapsed="false">
      <c r="A613" s="34"/>
      <c r="B613" s="30"/>
      <c r="C613" s="30"/>
      <c r="D613" s="30"/>
      <c r="E613" s="16" t="str">
        <f aca="false">IF(B613="","",IFERROR(INDEX(Produtos!$C$5:$C$44,MATCH(B613,Produtos!$A$5:$A$44,0)),0))</f>
        <v/>
      </c>
      <c r="F613" s="16" t="str">
        <f aca="false">IF(B613="","",C613*E613)</f>
        <v/>
      </c>
      <c r="G613" s="16" t="str">
        <f aca="false">IF(B613="","",C613*IFERROR(INDEX(Produtos!$D$5:$D$44,MATCH(B613,Produtos!$A$5:$A$44,0)),0))</f>
        <v/>
      </c>
      <c r="H613" s="16" t="str">
        <f aca="false">IF(B613="","",F613*IFERROR(INDEX(Despesas!$B$5:$B$8,MATCH(D613,Despesas!$A$5:$A$8,0)),0))</f>
        <v/>
      </c>
      <c r="I613" s="16" t="str">
        <f aca="false">IF(B613="","",F613-G613-H613)</f>
        <v/>
      </c>
    </row>
    <row r="614" customFormat="false" ht="15" hidden="false" customHeight="false" outlineLevel="0" collapsed="false">
      <c r="A614" s="34"/>
      <c r="B614" s="30"/>
      <c r="C614" s="30"/>
      <c r="D614" s="30"/>
      <c r="E614" s="16" t="str">
        <f aca="false">IF(B614="","",IFERROR(INDEX(Produtos!$C$5:$C$44,MATCH(B614,Produtos!$A$5:$A$44,0)),0))</f>
        <v/>
      </c>
      <c r="F614" s="16" t="str">
        <f aca="false">IF(B614="","",C614*E614)</f>
        <v/>
      </c>
      <c r="G614" s="16" t="str">
        <f aca="false">IF(B614="","",C614*IFERROR(INDEX(Produtos!$D$5:$D$44,MATCH(B614,Produtos!$A$5:$A$44,0)),0))</f>
        <v/>
      </c>
      <c r="H614" s="16" t="str">
        <f aca="false">IF(B614="","",F614*IFERROR(INDEX(Despesas!$B$5:$B$8,MATCH(D614,Despesas!$A$5:$A$8,0)),0))</f>
        <v/>
      </c>
      <c r="I614" s="16" t="str">
        <f aca="false">IF(B614="","",F614-G614-H614)</f>
        <v/>
      </c>
    </row>
    <row r="615" customFormat="false" ht="15" hidden="false" customHeight="false" outlineLevel="0" collapsed="false">
      <c r="A615" s="34"/>
      <c r="B615" s="30"/>
      <c r="C615" s="30"/>
      <c r="D615" s="30"/>
      <c r="E615" s="16" t="str">
        <f aca="false">IF(B615="","",IFERROR(INDEX(Produtos!$C$5:$C$44,MATCH(B615,Produtos!$A$5:$A$44,0)),0))</f>
        <v/>
      </c>
      <c r="F615" s="16" t="str">
        <f aca="false">IF(B615="","",C615*E615)</f>
        <v/>
      </c>
      <c r="G615" s="16" t="str">
        <f aca="false">IF(B615="","",C615*IFERROR(INDEX(Produtos!$D$5:$D$44,MATCH(B615,Produtos!$A$5:$A$44,0)),0))</f>
        <v/>
      </c>
      <c r="H615" s="16" t="str">
        <f aca="false">IF(B615="","",F615*IFERROR(INDEX(Despesas!$B$5:$B$8,MATCH(D615,Despesas!$A$5:$A$8,0)),0))</f>
        <v/>
      </c>
      <c r="I615" s="16" t="str">
        <f aca="false">IF(B615="","",F615-G615-H615)</f>
        <v/>
      </c>
    </row>
    <row r="616" customFormat="false" ht="15" hidden="false" customHeight="false" outlineLevel="0" collapsed="false">
      <c r="A616" s="34"/>
      <c r="B616" s="30"/>
      <c r="C616" s="30"/>
      <c r="D616" s="30"/>
      <c r="E616" s="16" t="str">
        <f aca="false">IF(B616="","",IFERROR(INDEX(Produtos!$C$5:$C$44,MATCH(B616,Produtos!$A$5:$A$44,0)),0))</f>
        <v/>
      </c>
      <c r="F616" s="16" t="str">
        <f aca="false">IF(B616="","",C616*E616)</f>
        <v/>
      </c>
      <c r="G616" s="16" t="str">
        <f aca="false">IF(B616="","",C616*IFERROR(INDEX(Produtos!$D$5:$D$44,MATCH(B616,Produtos!$A$5:$A$44,0)),0))</f>
        <v/>
      </c>
      <c r="H616" s="16" t="str">
        <f aca="false">IF(B616="","",F616*IFERROR(INDEX(Despesas!$B$5:$B$8,MATCH(D616,Despesas!$A$5:$A$8,0)),0))</f>
        <v/>
      </c>
      <c r="I616" s="16" t="str">
        <f aca="false">IF(B616="","",F616-G616-H616)</f>
        <v/>
      </c>
    </row>
    <row r="617" customFormat="false" ht="15" hidden="false" customHeight="false" outlineLevel="0" collapsed="false">
      <c r="A617" s="34"/>
      <c r="B617" s="30"/>
      <c r="C617" s="30"/>
      <c r="D617" s="30"/>
      <c r="E617" s="16" t="str">
        <f aca="false">IF(B617="","",IFERROR(INDEX(Produtos!$C$5:$C$44,MATCH(B617,Produtos!$A$5:$A$44,0)),0))</f>
        <v/>
      </c>
      <c r="F617" s="16" t="str">
        <f aca="false">IF(B617="","",C617*E617)</f>
        <v/>
      </c>
      <c r="G617" s="16" t="str">
        <f aca="false">IF(B617="","",C617*IFERROR(INDEX(Produtos!$D$5:$D$44,MATCH(B617,Produtos!$A$5:$A$44,0)),0))</f>
        <v/>
      </c>
      <c r="H617" s="16" t="str">
        <f aca="false">IF(B617="","",F617*IFERROR(INDEX(Despesas!$B$5:$B$8,MATCH(D617,Despesas!$A$5:$A$8,0)),0))</f>
        <v/>
      </c>
      <c r="I617" s="16" t="str">
        <f aca="false">IF(B617="","",F617-G617-H617)</f>
        <v/>
      </c>
    </row>
    <row r="618" customFormat="false" ht="15" hidden="false" customHeight="false" outlineLevel="0" collapsed="false">
      <c r="A618" s="34"/>
      <c r="B618" s="30"/>
      <c r="C618" s="30"/>
      <c r="D618" s="30"/>
      <c r="E618" s="16" t="str">
        <f aca="false">IF(B618="","",IFERROR(INDEX(Produtos!$C$5:$C$44,MATCH(B618,Produtos!$A$5:$A$44,0)),0))</f>
        <v/>
      </c>
      <c r="F618" s="16" t="str">
        <f aca="false">IF(B618="","",C618*E618)</f>
        <v/>
      </c>
      <c r="G618" s="16" t="str">
        <f aca="false">IF(B618="","",C618*IFERROR(INDEX(Produtos!$D$5:$D$44,MATCH(B618,Produtos!$A$5:$A$44,0)),0))</f>
        <v/>
      </c>
      <c r="H618" s="16" t="str">
        <f aca="false">IF(B618="","",F618*IFERROR(INDEX(Despesas!$B$5:$B$8,MATCH(D618,Despesas!$A$5:$A$8,0)),0))</f>
        <v/>
      </c>
      <c r="I618" s="16" t="str">
        <f aca="false">IF(B618="","",F618-G618-H618)</f>
        <v/>
      </c>
    </row>
    <row r="619" customFormat="false" ht="15" hidden="false" customHeight="false" outlineLevel="0" collapsed="false">
      <c r="A619" s="34"/>
      <c r="B619" s="30"/>
      <c r="C619" s="30"/>
      <c r="D619" s="30"/>
      <c r="E619" s="16" t="str">
        <f aca="false">IF(B619="","",IFERROR(INDEX(Produtos!$C$5:$C$44,MATCH(B619,Produtos!$A$5:$A$44,0)),0))</f>
        <v/>
      </c>
      <c r="F619" s="16" t="str">
        <f aca="false">IF(B619="","",C619*E619)</f>
        <v/>
      </c>
      <c r="G619" s="16" t="str">
        <f aca="false">IF(B619="","",C619*IFERROR(INDEX(Produtos!$D$5:$D$44,MATCH(B619,Produtos!$A$5:$A$44,0)),0))</f>
        <v/>
      </c>
      <c r="H619" s="16" t="str">
        <f aca="false">IF(B619="","",F619*IFERROR(INDEX(Despesas!$B$5:$B$8,MATCH(D619,Despesas!$A$5:$A$8,0)),0))</f>
        <v/>
      </c>
      <c r="I619" s="16" t="str">
        <f aca="false">IF(B619="","",F619-G619-H619)</f>
        <v/>
      </c>
    </row>
    <row r="620" customFormat="false" ht="15" hidden="false" customHeight="false" outlineLevel="0" collapsed="false">
      <c r="A620" s="34"/>
      <c r="B620" s="30"/>
      <c r="C620" s="30"/>
      <c r="D620" s="30"/>
      <c r="E620" s="16" t="str">
        <f aca="false">IF(B620="","",IFERROR(INDEX(Produtos!$C$5:$C$44,MATCH(B620,Produtos!$A$5:$A$44,0)),0))</f>
        <v/>
      </c>
      <c r="F620" s="16" t="str">
        <f aca="false">IF(B620="","",C620*E620)</f>
        <v/>
      </c>
      <c r="G620" s="16" t="str">
        <f aca="false">IF(B620="","",C620*IFERROR(INDEX(Produtos!$D$5:$D$44,MATCH(B620,Produtos!$A$5:$A$44,0)),0))</f>
        <v/>
      </c>
      <c r="H620" s="16" t="str">
        <f aca="false">IF(B620="","",F620*IFERROR(INDEX(Despesas!$B$5:$B$8,MATCH(D620,Despesas!$A$5:$A$8,0)),0))</f>
        <v/>
      </c>
      <c r="I620" s="16" t="str">
        <f aca="false">IF(B620="","",F620-G620-H620)</f>
        <v/>
      </c>
    </row>
    <row r="621" customFormat="false" ht="15" hidden="false" customHeight="false" outlineLevel="0" collapsed="false">
      <c r="A621" s="34"/>
      <c r="B621" s="30"/>
      <c r="C621" s="30"/>
      <c r="D621" s="30"/>
      <c r="E621" s="16" t="str">
        <f aca="false">IF(B621="","",IFERROR(INDEX(Produtos!$C$5:$C$44,MATCH(B621,Produtos!$A$5:$A$44,0)),0))</f>
        <v/>
      </c>
      <c r="F621" s="16" t="str">
        <f aca="false">IF(B621="","",C621*E621)</f>
        <v/>
      </c>
      <c r="G621" s="16" t="str">
        <f aca="false">IF(B621="","",C621*IFERROR(INDEX(Produtos!$D$5:$D$44,MATCH(B621,Produtos!$A$5:$A$44,0)),0))</f>
        <v/>
      </c>
      <c r="H621" s="16" t="str">
        <f aca="false">IF(B621="","",F621*IFERROR(INDEX(Despesas!$B$5:$B$8,MATCH(D621,Despesas!$A$5:$A$8,0)),0))</f>
        <v/>
      </c>
      <c r="I621" s="16" t="str">
        <f aca="false">IF(B621="","",F621-G621-H621)</f>
        <v/>
      </c>
    </row>
    <row r="622" customFormat="false" ht="15" hidden="false" customHeight="false" outlineLevel="0" collapsed="false">
      <c r="A622" s="34"/>
      <c r="B622" s="30"/>
      <c r="C622" s="30"/>
      <c r="D622" s="30"/>
      <c r="E622" s="16" t="str">
        <f aca="false">IF(B622="","",IFERROR(INDEX(Produtos!$C$5:$C$44,MATCH(B622,Produtos!$A$5:$A$44,0)),0))</f>
        <v/>
      </c>
      <c r="F622" s="16" t="str">
        <f aca="false">IF(B622="","",C622*E622)</f>
        <v/>
      </c>
      <c r="G622" s="16" t="str">
        <f aca="false">IF(B622="","",C622*IFERROR(INDEX(Produtos!$D$5:$D$44,MATCH(B622,Produtos!$A$5:$A$44,0)),0))</f>
        <v/>
      </c>
      <c r="H622" s="16" t="str">
        <f aca="false">IF(B622="","",F622*IFERROR(INDEX(Despesas!$B$5:$B$8,MATCH(D622,Despesas!$A$5:$A$8,0)),0))</f>
        <v/>
      </c>
      <c r="I622" s="16" t="str">
        <f aca="false">IF(B622="","",F622-G622-H622)</f>
        <v/>
      </c>
    </row>
    <row r="623" customFormat="false" ht="15" hidden="false" customHeight="false" outlineLevel="0" collapsed="false">
      <c r="A623" s="34"/>
      <c r="B623" s="30"/>
      <c r="C623" s="30"/>
      <c r="D623" s="30"/>
      <c r="E623" s="16" t="str">
        <f aca="false">IF(B623="","",IFERROR(INDEX(Produtos!$C$5:$C$44,MATCH(B623,Produtos!$A$5:$A$44,0)),0))</f>
        <v/>
      </c>
      <c r="F623" s="16" t="str">
        <f aca="false">IF(B623="","",C623*E623)</f>
        <v/>
      </c>
      <c r="G623" s="16" t="str">
        <f aca="false">IF(B623="","",C623*IFERROR(INDEX(Produtos!$D$5:$D$44,MATCH(B623,Produtos!$A$5:$A$44,0)),0))</f>
        <v/>
      </c>
      <c r="H623" s="16" t="str">
        <f aca="false">IF(B623="","",F623*IFERROR(INDEX(Despesas!$B$5:$B$8,MATCH(D623,Despesas!$A$5:$A$8,0)),0))</f>
        <v/>
      </c>
      <c r="I623" s="16" t="str">
        <f aca="false">IF(B623="","",F623-G623-H623)</f>
        <v/>
      </c>
    </row>
    <row r="624" customFormat="false" ht="15" hidden="false" customHeight="false" outlineLevel="0" collapsed="false">
      <c r="A624" s="34"/>
      <c r="B624" s="30"/>
      <c r="C624" s="30"/>
      <c r="D624" s="30"/>
      <c r="E624" s="16" t="str">
        <f aca="false">IF(B624="","",IFERROR(INDEX(Produtos!$C$5:$C$44,MATCH(B624,Produtos!$A$5:$A$44,0)),0))</f>
        <v/>
      </c>
      <c r="F624" s="16" t="str">
        <f aca="false">IF(B624="","",C624*E624)</f>
        <v/>
      </c>
      <c r="G624" s="16" t="str">
        <f aca="false">IF(B624="","",C624*IFERROR(INDEX(Produtos!$D$5:$D$44,MATCH(B624,Produtos!$A$5:$A$44,0)),0))</f>
        <v/>
      </c>
      <c r="H624" s="16" t="str">
        <f aca="false">IF(B624="","",F624*IFERROR(INDEX(Despesas!$B$5:$B$8,MATCH(D624,Despesas!$A$5:$A$8,0)),0))</f>
        <v/>
      </c>
      <c r="I624" s="16" t="str">
        <f aca="false">IF(B624="","",F624-G624-H624)</f>
        <v/>
      </c>
    </row>
    <row r="625" customFormat="false" ht="15" hidden="false" customHeight="false" outlineLevel="0" collapsed="false">
      <c r="A625" s="34"/>
      <c r="B625" s="30"/>
      <c r="C625" s="30"/>
      <c r="D625" s="30"/>
      <c r="E625" s="16" t="str">
        <f aca="false">IF(B625="","",IFERROR(INDEX(Produtos!$C$5:$C$44,MATCH(B625,Produtos!$A$5:$A$44,0)),0))</f>
        <v/>
      </c>
      <c r="F625" s="16" t="str">
        <f aca="false">IF(B625="","",C625*E625)</f>
        <v/>
      </c>
      <c r="G625" s="16" t="str">
        <f aca="false">IF(B625="","",C625*IFERROR(INDEX(Produtos!$D$5:$D$44,MATCH(B625,Produtos!$A$5:$A$44,0)),0))</f>
        <v/>
      </c>
      <c r="H625" s="16" t="str">
        <f aca="false">IF(B625="","",F625*IFERROR(INDEX(Despesas!$B$5:$B$8,MATCH(D625,Despesas!$A$5:$A$8,0)),0))</f>
        <v/>
      </c>
      <c r="I625" s="16" t="str">
        <f aca="false">IF(B625="","",F625-G625-H625)</f>
        <v/>
      </c>
    </row>
    <row r="626" customFormat="false" ht="15" hidden="false" customHeight="false" outlineLevel="0" collapsed="false">
      <c r="A626" s="34"/>
      <c r="B626" s="30"/>
      <c r="C626" s="30"/>
      <c r="D626" s="30"/>
      <c r="E626" s="16" t="str">
        <f aca="false">IF(B626="","",IFERROR(INDEX(Produtos!$C$5:$C$44,MATCH(B626,Produtos!$A$5:$A$44,0)),0))</f>
        <v/>
      </c>
      <c r="F626" s="16" t="str">
        <f aca="false">IF(B626="","",C626*E626)</f>
        <v/>
      </c>
      <c r="G626" s="16" t="str">
        <f aca="false">IF(B626="","",C626*IFERROR(INDEX(Produtos!$D$5:$D$44,MATCH(B626,Produtos!$A$5:$A$44,0)),0))</f>
        <v/>
      </c>
      <c r="H626" s="16" t="str">
        <f aca="false">IF(B626="","",F626*IFERROR(INDEX(Despesas!$B$5:$B$8,MATCH(D626,Despesas!$A$5:$A$8,0)),0))</f>
        <v/>
      </c>
      <c r="I626" s="16" t="str">
        <f aca="false">IF(B626="","",F626-G626-H626)</f>
        <v/>
      </c>
    </row>
    <row r="627" customFormat="false" ht="15" hidden="false" customHeight="false" outlineLevel="0" collapsed="false">
      <c r="A627" s="34"/>
      <c r="B627" s="30"/>
      <c r="C627" s="30"/>
      <c r="D627" s="30"/>
      <c r="E627" s="16" t="str">
        <f aca="false">IF(B627="","",IFERROR(INDEX(Produtos!$C$5:$C$44,MATCH(B627,Produtos!$A$5:$A$44,0)),0))</f>
        <v/>
      </c>
      <c r="F627" s="16" t="str">
        <f aca="false">IF(B627="","",C627*E627)</f>
        <v/>
      </c>
      <c r="G627" s="16" t="str">
        <f aca="false">IF(B627="","",C627*IFERROR(INDEX(Produtos!$D$5:$D$44,MATCH(B627,Produtos!$A$5:$A$44,0)),0))</f>
        <v/>
      </c>
      <c r="H627" s="16" t="str">
        <f aca="false">IF(B627="","",F627*IFERROR(INDEX(Despesas!$B$5:$B$8,MATCH(D627,Despesas!$A$5:$A$8,0)),0))</f>
        <v/>
      </c>
      <c r="I627" s="16" t="str">
        <f aca="false">IF(B627="","",F627-G627-H627)</f>
        <v/>
      </c>
    </row>
    <row r="628" customFormat="false" ht="15" hidden="false" customHeight="false" outlineLevel="0" collapsed="false">
      <c r="A628" s="34"/>
      <c r="B628" s="30"/>
      <c r="C628" s="30"/>
      <c r="D628" s="30"/>
      <c r="E628" s="16" t="str">
        <f aca="false">IF(B628="","",IFERROR(INDEX(Produtos!$C$5:$C$44,MATCH(B628,Produtos!$A$5:$A$44,0)),0))</f>
        <v/>
      </c>
      <c r="F628" s="16" t="str">
        <f aca="false">IF(B628="","",C628*E628)</f>
        <v/>
      </c>
      <c r="G628" s="16" t="str">
        <f aca="false">IF(B628="","",C628*IFERROR(INDEX(Produtos!$D$5:$D$44,MATCH(B628,Produtos!$A$5:$A$44,0)),0))</f>
        <v/>
      </c>
      <c r="H628" s="16" t="str">
        <f aca="false">IF(B628="","",F628*IFERROR(INDEX(Despesas!$B$5:$B$8,MATCH(D628,Despesas!$A$5:$A$8,0)),0))</f>
        <v/>
      </c>
      <c r="I628" s="16" t="str">
        <f aca="false">IF(B628="","",F628-G628-H628)</f>
        <v/>
      </c>
    </row>
    <row r="629" customFormat="false" ht="15" hidden="false" customHeight="false" outlineLevel="0" collapsed="false">
      <c r="A629" s="34"/>
      <c r="B629" s="30"/>
      <c r="C629" s="30"/>
      <c r="D629" s="30"/>
      <c r="E629" s="16" t="str">
        <f aca="false">IF(B629="","",IFERROR(INDEX(Produtos!$C$5:$C$44,MATCH(B629,Produtos!$A$5:$A$44,0)),0))</f>
        <v/>
      </c>
      <c r="F629" s="16" t="str">
        <f aca="false">IF(B629="","",C629*E629)</f>
        <v/>
      </c>
      <c r="G629" s="16" t="str">
        <f aca="false">IF(B629="","",C629*IFERROR(INDEX(Produtos!$D$5:$D$44,MATCH(B629,Produtos!$A$5:$A$44,0)),0))</f>
        <v/>
      </c>
      <c r="H629" s="16" t="str">
        <f aca="false">IF(B629="","",F629*IFERROR(INDEX(Despesas!$B$5:$B$8,MATCH(D629,Despesas!$A$5:$A$8,0)),0))</f>
        <v/>
      </c>
      <c r="I629" s="16" t="str">
        <f aca="false">IF(B629="","",F629-G629-H629)</f>
        <v/>
      </c>
    </row>
    <row r="630" customFormat="false" ht="15" hidden="false" customHeight="false" outlineLevel="0" collapsed="false">
      <c r="A630" s="34"/>
      <c r="B630" s="30"/>
      <c r="C630" s="30"/>
      <c r="D630" s="30"/>
      <c r="E630" s="16" t="str">
        <f aca="false">IF(B630="","",IFERROR(INDEX(Produtos!$C$5:$C$44,MATCH(B630,Produtos!$A$5:$A$44,0)),0))</f>
        <v/>
      </c>
      <c r="F630" s="16" t="str">
        <f aca="false">IF(B630="","",C630*E630)</f>
        <v/>
      </c>
      <c r="G630" s="16" t="str">
        <f aca="false">IF(B630="","",C630*IFERROR(INDEX(Produtos!$D$5:$D$44,MATCH(B630,Produtos!$A$5:$A$44,0)),0))</f>
        <v/>
      </c>
      <c r="H630" s="16" t="str">
        <f aca="false">IF(B630="","",F630*IFERROR(INDEX(Despesas!$B$5:$B$8,MATCH(D630,Despesas!$A$5:$A$8,0)),0))</f>
        <v/>
      </c>
      <c r="I630" s="16" t="str">
        <f aca="false">IF(B630="","",F630-G630-H630)</f>
        <v/>
      </c>
    </row>
    <row r="631" customFormat="false" ht="15" hidden="false" customHeight="false" outlineLevel="0" collapsed="false">
      <c r="A631" s="34"/>
      <c r="B631" s="30"/>
      <c r="C631" s="30"/>
      <c r="D631" s="30"/>
      <c r="E631" s="16" t="str">
        <f aca="false">IF(B631="","",IFERROR(INDEX(Produtos!$C$5:$C$44,MATCH(B631,Produtos!$A$5:$A$44,0)),0))</f>
        <v/>
      </c>
      <c r="F631" s="16" t="str">
        <f aca="false">IF(B631="","",C631*E631)</f>
        <v/>
      </c>
      <c r="G631" s="16" t="str">
        <f aca="false">IF(B631="","",C631*IFERROR(INDEX(Produtos!$D$5:$D$44,MATCH(B631,Produtos!$A$5:$A$44,0)),0))</f>
        <v/>
      </c>
      <c r="H631" s="16" t="str">
        <f aca="false">IF(B631="","",F631*IFERROR(INDEX(Despesas!$B$5:$B$8,MATCH(D631,Despesas!$A$5:$A$8,0)),0))</f>
        <v/>
      </c>
      <c r="I631" s="16" t="str">
        <f aca="false">IF(B631="","",F631-G631-H631)</f>
        <v/>
      </c>
    </row>
    <row r="632" customFormat="false" ht="15" hidden="false" customHeight="false" outlineLevel="0" collapsed="false">
      <c r="A632" s="34"/>
      <c r="B632" s="30"/>
      <c r="C632" s="30"/>
      <c r="D632" s="30"/>
      <c r="E632" s="16" t="str">
        <f aca="false">IF(B632="","",IFERROR(INDEX(Produtos!$C$5:$C$44,MATCH(B632,Produtos!$A$5:$A$44,0)),0))</f>
        <v/>
      </c>
      <c r="F632" s="16" t="str">
        <f aca="false">IF(B632="","",C632*E632)</f>
        <v/>
      </c>
      <c r="G632" s="16" t="str">
        <f aca="false">IF(B632="","",C632*IFERROR(INDEX(Produtos!$D$5:$D$44,MATCH(B632,Produtos!$A$5:$A$44,0)),0))</f>
        <v/>
      </c>
      <c r="H632" s="16" t="str">
        <f aca="false">IF(B632="","",F632*IFERROR(INDEX(Despesas!$B$5:$B$8,MATCH(D632,Despesas!$A$5:$A$8,0)),0))</f>
        <v/>
      </c>
      <c r="I632" s="16" t="str">
        <f aca="false">IF(B632="","",F632-G632-H632)</f>
        <v/>
      </c>
    </row>
    <row r="633" customFormat="false" ht="15" hidden="false" customHeight="false" outlineLevel="0" collapsed="false">
      <c r="A633" s="34"/>
      <c r="B633" s="30"/>
      <c r="C633" s="30"/>
      <c r="D633" s="30"/>
      <c r="E633" s="16" t="str">
        <f aca="false">IF(B633="","",IFERROR(INDEX(Produtos!$C$5:$C$44,MATCH(B633,Produtos!$A$5:$A$44,0)),0))</f>
        <v/>
      </c>
      <c r="F633" s="16" t="str">
        <f aca="false">IF(B633="","",C633*E633)</f>
        <v/>
      </c>
      <c r="G633" s="16" t="str">
        <f aca="false">IF(B633="","",C633*IFERROR(INDEX(Produtos!$D$5:$D$44,MATCH(B633,Produtos!$A$5:$A$44,0)),0))</f>
        <v/>
      </c>
      <c r="H633" s="16" t="str">
        <f aca="false">IF(B633="","",F633*IFERROR(INDEX(Despesas!$B$5:$B$8,MATCH(D633,Despesas!$A$5:$A$8,0)),0))</f>
        <v/>
      </c>
      <c r="I633" s="16" t="str">
        <f aca="false">IF(B633="","",F633-G633-H633)</f>
        <v/>
      </c>
    </row>
    <row r="634" customFormat="false" ht="15" hidden="false" customHeight="false" outlineLevel="0" collapsed="false">
      <c r="A634" s="34"/>
      <c r="B634" s="30"/>
      <c r="C634" s="30"/>
      <c r="D634" s="30"/>
      <c r="E634" s="16" t="str">
        <f aca="false">IF(B634="","",IFERROR(INDEX(Produtos!$C$5:$C$44,MATCH(B634,Produtos!$A$5:$A$44,0)),0))</f>
        <v/>
      </c>
      <c r="F634" s="16" t="str">
        <f aca="false">IF(B634="","",C634*E634)</f>
        <v/>
      </c>
      <c r="G634" s="16" t="str">
        <f aca="false">IF(B634="","",C634*IFERROR(INDEX(Produtos!$D$5:$D$44,MATCH(B634,Produtos!$A$5:$A$44,0)),0))</f>
        <v/>
      </c>
      <c r="H634" s="16" t="str">
        <f aca="false">IF(B634="","",F634*IFERROR(INDEX(Despesas!$B$5:$B$8,MATCH(D634,Despesas!$A$5:$A$8,0)),0))</f>
        <v/>
      </c>
      <c r="I634" s="16" t="str">
        <f aca="false">IF(B634="","",F634-G634-H634)</f>
        <v/>
      </c>
    </row>
    <row r="635" customFormat="false" ht="15" hidden="false" customHeight="false" outlineLevel="0" collapsed="false">
      <c r="A635" s="34"/>
      <c r="B635" s="30"/>
      <c r="C635" s="30"/>
      <c r="D635" s="30"/>
      <c r="E635" s="16" t="str">
        <f aca="false">IF(B635="","",IFERROR(INDEX(Produtos!$C$5:$C$44,MATCH(B635,Produtos!$A$5:$A$44,0)),0))</f>
        <v/>
      </c>
      <c r="F635" s="16" t="str">
        <f aca="false">IF(B635="","",C635*E635)</f>
        <v/>
      </c>
      <c r="G635" s="16" t="str">
        <f aca="false">IF(B635="","",C635*IFERROR(INDEX(Produtos!$D$5:$D$44,MATCH(B635,Produtos!$A$5:$A$44,0)),0))</f>
        <v/>
      </c>
      <c r="H635" s="16" t="str">
        <f aca="false">IF(B635="","",F635*IFERROR(INDEX(Despesas!$B$5:$B$8,MATCH(D635,Despesas!$A$5:$A$8,0)),0))</f>
        <v/>
      </c>
      <c r="I635" s="16" t="str">
        <f aca="false">IF(B635="","",F635-G635-H635)</f>
        <v/>
      </c>
    </row>
    <row r="636" customFormat="false" ht="15" hidden="false" customHeight="false" outlineLevel="0" collapsed="false">
      <c r="A636" s="34"/>
      <c r="B636" s="30"/>
      <c r="C636" s="30"/>
      <c r="D636" s="30"/>
      <c r="E636" s="16" t="str">
        <f aca="false">IF(B636="","",IFERROR(INDEX(Produtos!$C$5:$C$44,MATCH(B636,Produtos!$A$5:$A$44,0)),0))</f>
        <v/>
      </c>
      <c r="F636" s="16" t="str">
        <f aca="false">IF(B636="","",C636*E636)</f>
        <v/>
      </c>
      <c r="G636" s="16" t="str">
        <f aca="false">IF(B636="","",C636*IFERROR(INDEX(Produtos!$D$5:$D$44,MATCH(B636,Produtos!$A$5:$A$44,0)),0))</f>
        <v/>
      </c>
      <c r="H636" s="16" t="str">
        <f aca="false">IF(B636="","",F636*IFERROR(INDEX(Despesas!$B$5:$B$8,MATCH(D636,Despesas!$A$5:$A$8,0)),0))</f>
        <v/>
      </c>
      <c r="I636" s="16" t="str">
        <f aca="false">IF(B636="","",F636-G636-H636)</f>
        <v/>
      </c>
    </row>
    <row r="637" customFormat="false" ht="15" hidden="false" customHeight="false" outlineLevel="0" collapsed="false">
      <c r="A637" s="34"/>
      <c r="B637" s="30"/>
      <c r="C637" s="30"/>
      <c r="D637" s="30"/>
      <c r="E637" s="16" t="str">
        <f aca="false">IF(B637="","",IFERROR(INDEX(Produtos!$C$5:$C$44,MATCH(B637,Produtos!$A$5:$A$44,0)),0))</f>
        <v/>
      </c>
      <c r="F637" s="16" t="str">
        <f aca="false">IF(B637="","",C637*E637)</f>
        <v/>
      </c>
      <c r="G637" s="16" t="str">
        <f aca="false">IF(B637="","",C637*IFERROR(INDEX(Produtos!$D$5:$D$44,MATCH(B637,Produtos!$A$5:$A$44,0)),0))</f>
        <v/>
      </c>
      <c r="H637" s="16" t="str">
        <f aca="false">IF(B637="","",F637*IFERROR(INDEX(Despesas!$B$5:$B$8,MATCH(D637,Despesas!$A$5:$A$8,0)),0))</f>
        <v/>
      </c>
      <c r="I637" s="16" t="str">
        <f aca="false">IF(B637="","",F637-G637-H637)</f>
        <v/>
      </c>
    </row>
    <row r="638" customFormat="false" ht="15" hidden="false" customHeight="false" outlineLevel="0" collapsed="false">
      <c r="A638" s="34"/>
      <c r="B638" s="30"/>
      <c r="C638" s="30"/>
      <c r="D638" s="30"/>
      <c r="E638" s="16" t="str">
        <f aca="false">IF(B638="","",IFERROR(INDEX(Produtos!$C$5:$C$44,MATCH(B638,Produtos!$A$5:$A$44,0)),0))</f>
        <v/>
      </c>
      <c r="F638" s="16" t="str">
        <f aca="false">IF(B638="","",C638*E638)</f>
        <v/>
      </c>
      <c r="G638" s="16" t="str">
        <f aca="false">IF(B638="","",C638*IFERROR(INDEX(Produtos!$D$5:$D$44,MATCH(B638,Produtos!$A$5:$A$44,0)),0))</f>
        <v/>
      </c>
      <c r="H638" s="16" t="str">
        <f aca="false">IF(B638="","",F638*IFERROR(INDEX(Despesas!$B$5:$B$8,MATCH(D638,Despesas!$A$5:$A$8,0)),0))</f>
        <v/>
      </c>
      <c r="I638" s="16" t="str">
        <f aca="false">IF(B638="","",F638-G638-H638)</f>
        <v/>
      </c>
    </row>
    <row r="639" customFormat="false" ht="15" hidden="false" customHeight="false" outlineLevel="0" collapsed="false">
      <c r="A639" s="34"/>
      <c r="B639" s="30"/>
      <c r="C639" s="30"/>
      <c r="D639" s="30"/>
      <c r="E639" s="16" t="str">
        <f aca="false">IF(B639="","",IFERROR(INDEX(Produtos!$C$5:$C$44,MATCH(B639,Produtos!$A$5:$A$44,0)),0))</f>
        <v/>
      </c>
      <c r="F639" s="16" t="str">
        <f aca="false">IF(B639="","",C639*E639)</f>
        <v/>
      </c>
      <c r="G639" s="16" t="str">
        <f aca="false">IF(B639="","",C639*IFERROR(INDEX(Produtos!$D$5:$D$44,MATCH(B639,Produtos!$A$5:$A$44,0)),0))</f>
        <v/>
      </c>
      <c r="H639" s="16" t="str">
        <f aca="false">IF(B639="","",F639*IFERROR(INDEX(Despesas!$B$5:$B$8,MATCH(D639,Despesas!$A$5:$A$8,0)),0))</f>
        <v/>
      </c>
      <c r="I639" s="16" t="str">
        <f aca="false">IF(B639="","",F639-G639-H639)</f>
        <v/>
      </c>
    </row>
    <row r="640" customFormat="false" ht="15" hidden="false" customHeight="false" outlineLevel="0" collapsed="false">
      <c r="A640" s="34"/>
      <c r="B640" s="30"/>
      <c r="C640" s="30"/>
      <c r="D640" s="30"/>
      <c r="E640" s="16" t="str">
        <f aca="false">IF(B640="","",IFERROR(INDEX(Produtos!$C$5:$C$44,MATCH(B640,Produtos!$A$5:$A$44,0)),0))</f>
        <v/>
      </c>
      <c r="F640" s="16" t="str">
        <f aca="false">IF(B640="","",C640*E640)</f>
        <v/>
      </c>
      <c r="G640" s="16" t="str">
        <f aca="false">IF(B640="","",C640*IFERROR(INDEX(Produtos!$D$5:$D$44,MATCH(B640,Produtos!$A$5:$A$44,0)),0))</f>
        <v/>
      </c>
      <c r="H640" s="16" t="str">
        <f aca="false">IF(B640="","",F640*IFERROR(INDEX(Despesas!$B$5:$B$8,MATCH(D640,Despesas!$A$5:$A$8,0)),0))</f>
        <v/>
      </c>
      <c r="I640" s="16" t="str">
        <f aca="false">IF(B640="","",F640-G640-H640)</f>
        <v/>
      </c>
    </row>
    <row r="641" customFormat="false" ht="15" hidden="false" customHeight="false" outlineLevel="0" collapsed="false">
      <c r="A641" s="34"/>
      <c r="B641" s="30"/>
      <c r="C641" s="30"/>
      <c r="D641" s="30"/>
      <c r="E641" s="16" t="str">
        <f aca="false">IF(B641="","",IFERROR(INDEX(Produtos!$C$5:$C$44,MATCH(B641,Produtos!$A$5:$A$44,0)),0))</f>
        <v/>
      </c>
      <c r="F641" s="16" t="str">
        <f aca="false">IF(B641="","",C641*E641)</f>
        <v/>
      </c>
      <c r="G641" s="16" t="str">
        <f aca="false">IF(B641="","",C641*IFERROR(INDEX(Produtos!$D$5:$D$44,MATCH(B641,Produtos!$A$5:$A$44,0)),0))</f>
        <v/>
      </c>
      <c r="H641" s="16" t="str">
        <f aca="false">IF(B641="","",F641*IFERROR(INDEX(Despesas!$B$5:$B$8,MATCH(D641,Despesas!$A$5:$A$8,0)),0))</f>
        <v/>
      </c>
      <c r="I641" s="16" t="str">
        <f aca="false">IF(B641="","",F641-G641-H641)</f>
        <v/>
      </c>
    </row>
    <row r="642" customFormat="false" ht="15" hidden="false" customHeight="false" outlineLevel="0" collapsed="false">
      <c r="A642" s="34"/>
      <c r="B642" s="30"/>
      <c r="C642" s="30"/>
      <c r="D642" s="30"/>
      <c r="E642" s="16" t="str">
        <f aca="false">IF(B642="","",IFERROR(INDEX(Produtos!$C$5:$C$44,MATCH(B642,Produtos!$A$5:$A$44,0)),0))</f>
        <v/>
      </c>
      <c r="F642" s="16" t="str">
        <f aca="false">IF(B642="","",C642*E642)</f>
        <v/>
      </c>
      <c r="G642" s="16" t="str">
        <f aca="false">IF(B642="","",C642*IFERROR(INDEX(Produtos!$D$5:$D$44,MATCH(B642,Produtos!$A$5:$A$44,0)),0))</f>
        <v/>
      </c>
      <c r="H642" s="16" t="str">
        <f aca="false">IF(B642="","",F642*IFERROR(INDEX(Despesas!$B$5:$B$8,MATCH(D642,Despesas!$A$5:$A$8,0)),0))</f>
        <v/>
      </c>
      <c r="I642" s="16" t="str">
        <f aca="false">IF(B642="","",F642-G642-H642)</f>
        <v/>
      </c>
    </row>
    <row r="643" customFormat="false" ht="15" hidden="false" customHeight="false" outlineLevel="0" collapsed="false">
      <c r="A643" s="34"/>
      <c r="B643" s="30"/>
      <c r="C643" s="30"/>
      <c r="D643" s="30"/>
      <c r="E643" s="16" t="str">
        <f aca="false">IF(B643="","",IFERROR(INDEX(Produtos!$C$5:$C$44,MATCH(B643,Produtos!$A$5:$A$44,0)),0))</f>
        <v/>
      </c>
      <c r="F643" s="16" t="str">
        <f aca="false">IF(B643="","",C643*E643)</f>
        <v/>
      </c>
      <c r="G643" s="16" t="str">
        <f aca="false">IF(B643="","",C643*IFERROR(INDEX(Produtos!$D$5:$D$44,MATCH(B643,Produtos!$A$5:$A$44,0)),0))</f>
        <v/>
      </c>
      <c r="H643" s="16" t="str">
        <f aca="false">IF(B643="","",F643*IFERROR(INDEX(Despesas!$B$5:$B$8,MATCH(D643,Despesas!$A$5:$A$8,0)),0))</f>
        <v/>
      </c>
      <c r="I643" s="16" t="str">
        <f aca="false">IF(B643="","",F643-G643-H643)</f>
        <v/>
      </c>
    </row>
    <row r="644" customFormat="false" ht="15" hidden="false" customHeight="false" outlineLevel="0" collapsed="false">
      <c r="A644" s="34"/>
      <c r="B644" s="30"/>
      <c r="C644" s="30"/>
      <c r="D644" s="30"/>
      <c r="E644" s="16" t="str">
        <f aca="false">IF(B644="","",IFERROR(INDEX(Produtos!$C$5:$C$44,MATCH(B644,Produtos!$A$5:$A$44,0)),0))</f>
        <v/>
      </c>
      <c r="F644" s="16" t="str">
        <f aca="false">IF(B644="","",C644*E644)</f>
        <v/>
      </c>
      <c r="G644" s="16" t="str">
        <f aca="false">IF(B644="","",C644*IFERROR(INDEX(Produtos!$D$5:$D$44,MATCH(B644,Produtos!$A$5:$A$44,0)),0))</f>
        <v/>
      </c>
      <c r="H644" s="16" t="str">
        <f aca="false">IF(B644="","",F644*IFERROR(INDEX(Despesas!$B$5:$B$8,MATCH(D644,Despesas!$A$5:$A$8,0)),0))</f>
        <v/>
      </c>
      <c r="I644" s="16" t="str">
        <f aca="false">IF(B644="","",F644-G644-H644)</f>
        <v/>
      </c>
    </row>
    <row r="645" customFormat="false" ht="15" hidden="false" customHeight="false" outlineLevel="0" collapsed="false">
      <c r="A645" s="34"/>
      <c r="B645" s="30"/>
      <c r="C645" s="30"/>
      <c r="D645" s="30"/>
      <c r="E645" s="16" t="str">
        <f aca="false">IF(B645="","",IFERROR(INDEX(Produtos!$C$5:$C$44,MATCH(B645,Produtos!$A$5:$A$44,0)),0))</f>
        <v/>
      </c>
      <c r="F645" s="16" t="str">
        <f aca="false">IF(B645="","",C645*E645)</f>
        <v/>
      </c>
      <c r="G645" s="16" t="str">
        <f aca="false">IF(B645="","",C645*IFERROR(INDEX(Produtos!$D$5:$D$44,MATCH(B645,Produtos!$A$5:$A$44,0)),0))</f>
        <v/>
      </c>
      <c r="H645" s="16" t="str">
        <f aca="false">IF(B645="","",F645*IFERROR(INDEX(Despesas!$B$5:$B$8,MATCH(D645,Despesas!$A$5:$A$8,0)),0))</f>
        <v/>
      </c>
      <c r="I645" s="16" t="str">
        <f aca="false">IF(B645="","",F645-G645-H645)</f>
        <v/>
      </c>
    </row>
    <row r="646" customFormat="false" ht="15" hidden="false" customHeight="false" outlineLevel="0" collapsed="false">
      <c r="A646" s="34"/>
      <c r="B646" s="30"/>
      <c r="C646" s="30"/>
      <c r="D646" s="30"/>
      <c r="E646" s="16" t="str">
        <f aca="false">IF(B646="","",IFERROR(INDEX(Produtos!$C$5:$C$44,MATCH(B646,Produtos!$A$5:$A$44,0)),0))</f>
        <v/>
      </c>
      <c r="F646" s="16" t="str">
        <f aca="false">IF(B646="","",C646*E646)</f>
        <v/>
      </c>
      <c r="G646" s="16" t="str">
        <f aca="false">IF(B646="","",C646*IFERROR(INDEX(Produtos!$D$5:$D$44,MATCH(B646,Produtos!$A$5:$A$44,0)),0))</f>
        <v/>
      </c>
      <c r="H646" s="16" t="str">
        <f aca="false">IF(B646="","",F646*IFERROR(INDEX(Despesas!$B$5:$B$8,MATCH(D646,Despesas!$A$5:$A$8,0)),0))</f>
        <v/>
      </c>
      <c r="I646" s="16" t="str">
        <f aca="false">IF(B646="","",F646-G646-H646)</f>
        <v/>
      </c>
    </row>
    <row r="647" customFormat="false" ht="15" hidden="false" customHeight="false" outlineLevel="0" collapsed="false">
      <c r="A647" s="34"/>
      <c r="B647" s="30"/>
      <c r="C647" s="30"/>
      <c r="D647" s="30"/>
      <c r="E647" s="16" t="str">
        <f aca="false">IF(B647="","",IFERROR(INDEX(Produtos!$C$5:$C$44,MATCH(B647,Produtos!$A$5:$A$44,0)),0))</f>
        <v/>
      </c>
      <c r="F647" s="16" t="str">
        <f aca="false">IF(B647="","",C647*E647)</f>
        <v/>
      </c>
      <c r="G647" s="16" t="str">
        <f aca="false">IF(B647="","",C647*IFERROR(INDEX(Produtos!$D$5:$D$44,MATCH(B647,Produtos!$A$5:$A$44,0)),0))</f>
        <v/>
      </c>
      <c r="H647" s="16" t="str">
        <f aca="false">IF(B647="","",F647*IFERROR(INDEX(Despesas!$B$5:$B$8,MATCH(D647,Despesas!$A$5:$A$8,0)),0))</f>
        <v/>
      </c>
      <c r="I647" s="16" t="str">
        <f aca="false">IF(B647="","",F647-G647-H647)</f>
        <v/>
      </c>
    </row>
    <row r="648" customFormat="false" ht="15" hidden="false" customHeight="false" outlineLevel="0" collapsed="false">
      <c r="A648" s="34"/>
      <c r="B648" s="30"/>
      <c r="C648" s="30"/>
      <c r="D648" s="30"/>
      <c r="E648" s="16" t="str">
        <f aca="false">IF(B648="","",IFERROR(INDEX(Produtos!$C$5:$C$44,MATCH(B648,Produtos!$A$5:$A$44,0)),0))</f>
        <v/>
      </c>
      <c r="F648" s="16" t="str">
        <f aca="false">IF(B648="","",C648*E648)</f>
        <v/>
      </c>
      <c r="G648" s="16" t="str">
        <f aca="false">IF(B648="","",C648*IFERROR(INDEX(Produtos!$D$5:$D$44,MATCH(B648,Produtos!$A$5:$A$44,0)),0))</f>
        <v/>
      </c>
      <c r="H648" s="16" t="str">
        <f aca="false">IF(B648="","",F648*IFERROR(INDEX(Despesas!$B$5:$B$8,MATCH(D648,Despesas!$A$5:$A$8,0)),0))</f>
        <v/>
      </c>
      <c r="I648" s="16" t="str">
        <f aca="false">IF(B648="","",F648-G648-H648)</f>
        <v/>
      </c>
    </row>
    <row r="649" customFormat="false" ht="15" hidden="false" customHeight="false" outlineLevel="0" collapsed="false">
      <c r="A649" s="34"/>
      <c r="B649" s="30"/>
      <c r="C649" s="30"/>
      <c r="D649" s="30"/>
      <c r="E649" s="16" t="str">
        <f aca="false">IF(B649="","",IFERROR(INDEX(Produtos!$C$5:$C$44,MATCH(B649,Produtos!$A$5:$A$44,0)),0))</f>
        <v/>
      </c>
      <c r="F649" s="16" t="str">
        <f aca="false">IF(B649="","",C649*E649)</f>
        <v/>
      </c>
      <c r="G649" s="16" t="str">
        <f aca="false">IF(B649="","",C649*IFERROR(INDEX(Produtos!$D$5:$D$44,MATCH(B649,Produtos!$A$5:$A$44,0)),0))</f>
        <v/>
      </c>
      <c r="H649" s="16" t="str">
        <f aca="false">IF(B649="","",F649*IFERROR(INDEX(Despesas!$B$5:$B$8,MATCH(D649,Despesas!$A$5:$A$8,0)),0))</f>
        <v/>
      </c>
      <c r="I649" s="16" t="str">
        <f aca="false">IF(B649="","",F649-G649-H649)</f>
        <v/>
      </c>
    </row>
    <row r="650" customFormat="false" ht="15" hidden="false" customHeight="false" outlineLevel="0" collapsed="false">
      <c r="A650" s="34"/>
      <c r="B650" s="30"/>
      <c r="C650" s="30"/>
      <c r="D650" s="30"/>
      <c r="E650" s="16" t="str">
        <f aca="false">IF(B650="","",IFERROR(INDEX(Produtos!$C$5:$C$44,MATCH(B650,Produtos!$A$5:$A$44,0)),0))</f>
        <v/>
      </c>
      <c r="F650" s="16" t="str">
        <f aca="false">IF(B650="","",C650*E650)</f>
        <v/>
      </c>
      <c r="G650" s="16" t="str">
        <f aca="false">IF(B650="","",C650*IFERROR(INDEX(Produtos!$D$5:$D$44,MATCH(B650,Produtos!$A$5:$A$44,0)),0))</f>
        <v/>
      </c>
      <c r="H650" s="16" t="str">
        <f aca="false">IF(B650="","",F650*IFERROR(INDEX(Despesas!$B$5:$B$8,MATCH(D650,Despesas!$A$5:$A$8,0)),0))</f>
        <v/>
      </c>
      <c r="I650" s="16" t="str">
        <f aca="false">IF(B650="","",F650-G650-H650)</f>
        <v/>
      </c>
    </row>
    <row r="651" customFormat="false" ht="15" hidden="false" customHeight="false" outlineLevel="0" collapsed="false">
      <c r="A651" s="34"/>
      <c r="B651" s="30"/>
      <c r="C651" s="30"/>
      <c r="D651" s="30"/>
      <c r="E651" s="16" t="str">
        <f aca="false">IF(B651="","",IFERROR(INDEX(Produtos!$C$5:$C$44,MATCH(B651,Produtos!$A$5:$A$44,0)),0))</f>
        <v/>
      </c>
      <c r="F651" s="16" t="str">
        <f aca="false">IF(B651="","",C651*E651)</f>
        <v/>
      </c>
      <c r="G651" s="16" t="str">
        <f aca="false">IF(B651="","",C651*IFERROR(INDEX(Produtos!$D$5:$D$44,MATCH(B651,Produtos!$A$5:$A$44,0)),0))</f>
        <v/>
      </c>
      <c r="H651" s="16" t="str">
        <f aca="false">IF(B651="","",F651*IFERROR(INDEX(Despesas!$B$5:$B$8,MATCH(D651,Despesas!$A$5:$A$8,0)),0))</f>
        <v/>
      </c>
      <c r="I651" s="16" t="str">
        <f aca="false">IF(B651="","",F651-G651-H651)</f>
        <v/>
      </c>
    </row>
    <row r="652" customFormat="false" ht="15" hidden="false" customHeight="false" outlineLevel="0" collapsed="false">
      <c r="A652" s="34"/>
      <c r="B652" s="30"/>
      <c r="C652" s="30"/>
      <c r="D652" s="30"/>
      <c r="E652" s="16" t="str">
        <f aca="false">IF(B652="","",IFERROR(INDEX(Produtos!$C$5:$C$44,MATCH(B652,Produtos!$A$5:$A$44,0)),0))</f>
        <v/>
      </c>
      <c r="F652" s="16" t="str">
        <f aca="false">IF(B652="","",C652*E652)</f>
        <v/>
      </c>
      <c r="G652" s="16" t="str">
        <f aca="false">IF(B652="","",C652*IFERROR(INDEX(Produtos!$D$5:$D$44,MATCH(B652,Produtos!$A$5:$A$44,0)),0))</f>
        <v/>
      </c>
      <c r="H652" s="16" t="str">
        <f aca="false">IF(B652="","",F652*IFERROR(INDEX(Despesas!$B$5:$B$8,MATCH(D652,Despesas!$A$5:$A$8,0)),0))</f>
        <v/>
      </c>
      <c r="I652" s="16" t="str">
        <f aca="false">IF(B652="","",F652-G652-H652)</f>
        <v/>
      </c>
    </row>
    <row r="653" customFormat="false" ht="15" hidden="false" customHeight="false" outlineLevel="0" collapsed="false">
      <c r="A653" s="34"/>
      <c r="B653" s="30"/>
      <c r="C653" s="30"/>
      <c r="D653" s="30"/>
      <c r="E653" s="16" t="str">
        <f aca="false">IF(B653="","",IFERROR(INDEX(Produtos!$C$5:$C$44,MATCH(B653,Produtos!$A$5:$A$44,0)),0))</f>
        <v/>
      </c>
      <c r="F653" s="16" t="str">
        <f aca="false">IF(B653="","",C653*E653)</f>
        <v/>
      </c>
      <c r="G653" s="16" t="str">
        <f aca="false">IF(B653="","",C653*IFERROR(INDEX(Produtos!$D$5:$D$44,MATCH(B653,Produtos!$A$5:$A$44,0)),0))</f>
        <v/>
      </c>
      <c r="H653" s="16" t="str">
        <f aca="false">IF(B653="","",F653*IFERROR(INDEX(Despesas!$B$5:$B$8,MATCH(D653,Despesas!$A$5:$A$8,0)),0))</f>
        <v/>
      </c>
      <c r="I653" s="16" t="str">
        <f aca="false">IF(B653="","",F653-G653-H653)</f>
        <v/>
      </c>
    </row>
    <row r="654" customFormat="false" ht="15" hidden="false" customHeight="false" outlineLevel="0" collapsed="false">
      <c r="A654" s="34"/>
      <c r="B654" s="30"/>
      <c r="C654" s="30"/>
      <c r="D654" s="30"/>
      <c r="E654" s="16" t="str">
        <f aca="false">IF(B654="","",IFERROR(INDEX(Produtos!$C$5:$C$44,MATCH(B654,Produtos!$A$5:$A$44,0)),0))</f>
        <v/>
      </c>
      <c r="F654" s="16" t="str">
        <f aca="false">IF(B654="","",C654*E654)</f>
        <v/>
      </c>
      <c r="G654" s="16" t="str">
        <f aca="false">IF(B654="","",C654*IFERROR(INDEX(Produtos!$D$5:$D$44,MATCH(B654,Produtos!$A$5:$A$44,0)),0))</f>
        <v/>
      </c>
      <c r="H654" s="16" t="str">
        <f aca="false">IF(B654="","",F654*IFERROR(INDEX(Despesas!$B$5:$B$8,MATCH(D654,Despesas!$A$5:$A$8,0)),0))</f>
        <v/>
      </c>
      <c r="I654" s="16" t="str">
        <f aca="false">IF(B654="","",F654-G654-H654)</f>
        <v/>
      </c>
    </row>
    <row r="655" customFormat="false" ht="15" hidden="false" customHeight="false" outlineLevel="0" collapsed="false">
      <c r="A655" s="34"/>
      <c r="B655" s="30"/>
      <c r="C655" s="30"/>
      <c r="D655" s="30"/>
      <c r="E655" s="16" t="str">
        <f aca="false">IF(B655="","",IFERROR(INDEX(Produtos!$C$5:$C$44,MATCH(B655,Produtos!$A$5:$A$44,0)),0))</f>
        <v/>
      </c>
      <c r="F655" s="16" t="str">
        <f aca="false">IF(B655="","",C655*E655)</f>
        <v/>
      </c>
      <c r="G655" s="16" t="str">
        <f aca="false">IF(B655="","",C655*IFERROR(INDEX(Produtos!$D$5:$D$44,MATCH(B655,Produtos!$A$5:$A$44,0)),0))</f>
        <v/>
      </c>
      <c r="H655" s="16" t="str">
        <f aca="false">IF(B655="","",F655*IFERROR(INDEX(Despesas!$B$5:$B$8,MATCH(D655,Despesas!$A$5:$A$8,0)),0))</f>
        <v/>
      </c>
      <c r="I655" s="16" t="str">
        <f aca="false">IF(B655="","",F655-G655-H655)</f>
        <v/>
      </c>
    </row>
    <row r="656" customFormat="false" ht="15" hidden="false" customHeight="false" outlineLevel="0" collapsed="false">
      <c r="A656" s="34"/>
      <c r="B656" s="30"/>
      <c r="C656" s="30"/>
      <c r="D656" s="30"/>
      <c r="E656" s="16" t="str">
        <f aca="false">IF(B656="","",IFERROR(INDEX(Produtos!$C$5:$C$44,MATCH(B656,Produtos!$A$5:$A$44,0)),0))</f>
        <v/>
      </c>
      <c r="F656" s="16" t="str">
        <f aca="false">IF(B656="","",C656*E656)</f>
        <v/>
      </c>
      <c r="G656" s="16" t="str">
        <f aca="false">IF(B656="","",C656*IFERROR(INDEX(Produtos!$D$5:$D$44,MATCH(B656,Produtos!$A$5:$A$44,0)),0))</f>
        <v/>
      </c>
      <c r="H656" s="16" t="str">
        <f aca="false">IF(B656="","",F656*IFERROR(INDEX(Despesas!$B$5:$B$8,MATCH(D656,Despesas!$A$5:$A$8,0)),0))</f>
        <v/>
      </c>
      <c r="I656" s="16" t="str">
        <f aca="false">IF(B656="","",F656-G656-H656)</f>
        <v/>
      </c>
    </row>
    <row r="657" customFormat="false" ht="15" hidden="false" customHeight="false" outlineLevel="0" collapsed="false">
      <c r="A657" s="34"/>
      <c r="B657" s="30"/>
      <c r="C657" s="30"/>
      <c r="D657" s="30"/>
      <c r="E657" s="16" t="str">
        <f aca="false">IF(B657="","",IFERROR(INDEX(Produtos!$C$5:$C$44,MATCH(B657,Produtos!$A$5:$A$44,0)),0))</f>
        <v/>
      </c>
      <c r="F657" s="16" t="str">
        <f aca="false">IF(B657="","",C657*E657)</f>
        <v/>
      </c>
      <c r="G657" s="16" t="str">
        <f aca="false">IF(B657="","",C657*IFERROR(INDEX(Produtos!$D$5:$D$44,MATCH(B657,Produtos!$A$5:$A$44,0)),0))</f>
        <v/>
      </c>
      <c r="H657" s="16" t="str">
        <f aca="false">IF(B657="","",F657*IFERROR(INDEX(Despesas!$B$5:$B$8,MATCH(D657,Despesas!$A$5:$A$8,0)),0))</f>
        <v/>
      </c>
      <c r="I657" s="16" t="str">
        <f aca="false">IF(B657="","",F657-G657-H657)</f>
        <v/>
      </c>
    </row>
    <row r="658" customFormat="false" ht="15" hidden="false" customHeight="false" outlineLevel="0" collapsed="false">
      <c r="A658" s="34"/>
      <c r="B658" s="30"/>
      <c r="C658" s="30"/>
      <c r="D658" s="30"/>
      <c r="E658" s="16" t="str">
        <f aca="false">IF(B658="","",IFERROR(INDEX(Produtos!$C$5:$C$44,MATCH(B658,Produtos!$A$5:$A$44,0)),0))</f>
        <v/>
      </c>
      <c r="F658" s="16" t="str">
        <f aca="false">IF(B658="","",C658*E658)</f>
        <v/>
      </c>
      <c r="G658" s="16" t="str">
        <f aca="false">IF(B658="","",C658*IFERROR(INDEX(Produtos!$D$5:$D$44,MATCH(B658,Produtos!$A$5:$A$44,0)),0))</f>
        <v/>
      </c>
      <c r="H658" s="16" t="str">
        <f aca="false">IF(B658="","",F658*IFERROR(INDEX(Despesas!$B$5:$B$8,MATCH(D658,Despesas!$A$5:$A$8,0)),0))</f>
        <v/>
      </c>
      <c r="I658" s="16" t="str">
        <f aca="false">IF(B658="","",F658-G658-H658)</f>
        <v/>
      </c>
    </row>
    <row r="659" customFormat="false" ht="15" hidden="false" customHeight="false" outlineLevel="0" collapsed="false">
      <c r="A659" s="34"/>
      <c r="B659" s="30"/>
      <c r="C659" s="30"/>
      <c r="D659" s="30"/>
      <c r="E659" s="16" t="str">
        <f aca="false">IF(B659="","",IFERROR(INDEX(Produtos!$C$5:$C$44,MATCH(B659,Produtos!$A$5:$A$44,0)),0))</f>
        <v/>
      </c>
      <c r="F659" s="16" t="str">
        <f aca="false">IF(B659="","",C659*E659)</f>
        <v/>
      </c>
      <c r="G659" s="16" t="str">
        <f aca="false">IF(B659="","",C659*IFERROR(INDEX(Produtos!$D$5:$D$44,MATCH(B659,Produtos!$A$5:$A$44,0)),0))</f>
        <v/>
      </c>
      <c r="H659" s="16" t="str">
        <f aca="false">IF(B659="","",F659*IFERROR(INDEX(Despesas!$B$5:$B$8,MATCH(D659,Despesas!$A$5:$A$8,0)),0))</f>
        <v/>
      </c>
      <c r="I659" s="16" t="str">
        <f aca="false">IF(B659="","",F659-G659-H659)</f>
        <v/>
      </c>
    </row>
    <row r="660" customFormat="false" ht="15" hidden="false" customHeight="false" outlineLevel="0" collapsed="false">
      <c r="A660" s="34"/>
      <c r="B660" s="30"/>
      <c r="C660" s="30"/>
      <c r="D660" s="30"/>
      <c r="E660" s="16" t="str">
        <f aca="false">IF(B660="","",IFERROR(INDEX(Produtos!$C$5:$C$44,MATCH(B660,Produtos!$A$5:$A$44,0)),0))</f>
        <v/>
      </c>
      <c r="F660" s="16" t="str">
        <f aca="false">IF(B660="","",C660*E660)</f>
        <v/>
      </c>
      <c r="G660" s="16" t="str">
        <f aca="false">IF(B660="","",C660*IFERROR(INDEX(Produtos!$D$5:$D$44,MATCH(B660,Produtos!$A$5:$A$44,0)),0))</f>
        <v/>
      </c>
      <c r="H660" s="16" t="str">
        <f aca="false">IF(B660="","",F660*IFERROR(INDEX(Despesas!$B$5:$B$8,MATCH(D660,Despesas!$A$5:$A$8,0)),0))</f>
        <v/>
      </c>
      <c r="I660" s="16" t="str">
        <f aca="false">IF(B660="","",F660-G660-H660)</f>
        <v/>
      </c>
    </row>
    <row r="661" customFormat="false" ht="15" hidden="false" customHeight="false" outlineLevel="0" collapsed="false">
      <c r="A661" s="34"/>
      <c r="B661" s="30"/>
      <c r="C661" s="30"/>
      <c r="D661" s="30"/>
      <c r="E661" s="16" t="str">
        <f aca="false">IF(B661="","",IFERROR(INDEX(Produtos!$C$5:$C$44,MATCH(B661,Produtos!$A$5:$A$44,0)),0))</f>
        <v/>
      </c>
      <c r="F661" s="16" t="str">
        <f aca="false">IF(B661="","",C661*E661)</f>
        <v/>
      </c>
      <c r="G661" s="16" t="str">
        <f aca="false">IF(B661="","",C661*IFERROR(INDEX(Produtos!$D$5:$D$44,MATCH(B661,Produtos!$A$5:$A$44,0)),0))</f>
        <v/>
      </c>
      <c r="H661" s="16" t="str">
        <f aca="false">IF(B661="","",F661*IFERROR(INDEX(Despesas!$B$5:$B$8,MATCH(D661,Despesas!$A$5:$A$8,0)),0))</f>
        <v/>
      </c>
      <c r="I661" s="16" t="str">
        <f aca="false">IF(B661="","",F661-G661-H661)</f>
        <v/>
      </c>
    </row>
    <row r="662" customFormat="false" ht="15" hidden="false" customHeight="false" outlineLevel="0" collapsed="false">
      <c r="A662" s="34"/>
      <c r="B662" s="30"/>
      <c r="C662" s="30"/>
      <c r="D662" s="30"/>
      <c r="E662" s="16" t="str">
        <f aca="false">IF(B662="","",IFERROR(INDEX(Produtos!$C$5:$C$44,MATCH(B662,Produtos!$A$5:$A$44,0)),0))</f>
        <v/>
      </c>
      <c r="F662" s="16" t="str">
        <f aca="false">IF(B662="","",C662*E662)</f>
        <v/>
      </c>
      <c r="G662" s="16" t="str">
        <f aca="false">IF(B662="","",C662*IFERROR(INDEX(Produtos!$D$5:$D$44,MATCH(B662,Produtos!$A$5:$A$44,0)),0))</f>
        <v/>
      </c>
      <c r="H662" s="16" t="str">
        <f aca="false">IF(B662="","",F662*IFERROR(INDEX(Despesas!$B$5:$B$8,MATCH(D662,Despesas!$A$5:$A$8,0)),0))</f>
        <v/>
      </c>
      <c r="I662" s="16" t="str">
        <f aca="false">IF(B662="","",F662-G662-H662)</f>
        <v/>
      </c>
    </row>
    <row r="663" customFormat="false" ht="15" hidden="false" customHeight="false" outlineLevel="0" collapsed="false">
      <c r="A663" s="34"/>
      <c r="B663" s="30"/>
      <c r="C663" s="30"/>
      <c r="D663" s="30"/>
      <c r="E663" s="16" t="str">
        <f aca="false">IF(B663="","",IFERROR(INDEX(Produtos!$C$5:$C$44,MATCH(B663,Produtos!$A$5:$A$44,0)),0))</f>
        <v/>
      </c>
      <c r="F663" s="16" t="str">
        <f aca="false">IF(B663="","",C663*E663)</f>
        <v/>
      </c>
      <c r="G663" s="16" t="str">
        <f aca="false">IF(B663="","",C663*IFERROR(INDEX(Produtos!$D$5:$D$44,MATCH(B663,Produtos!$A$5:$A$44,0)),0))</f>
        <v/>
      </c>
      <c r="H663" s="16" t="str">
        <f aca="false">IF(B663="","",F663*IFERROR(INDEX(Despesas!$B$5:$B$8,MATCH(D663,Despesas!$A$5:$A$8,0)),0))</f>
        <v/>
      </c>
      <c r="I663" s="16" t="str">
        <f aca="false">IF(B663="","",F663-G663-H663)</f>
        <v/>
      </c>
    </row>
    <row r="664" customFormat="false" ht="15" hidden="false" customHeight="false" outlineLevel="0" collapsed="false">
      <c r="A664" s="34"/>
      <c r="B664" s="30"/>
      <c r="C664" s="30"/>
      <c r="D664" s="30"/>
      <c r="E664" s="16" t="str">
        <f aca="false">IF(B664="","",IFERROR(INDEX(Produtos!$C$5:$C$44,MATCH(B664,Produtos!$A$5:$A$44,0)),0))</f>
        <v/>
      </c>
      <c r="F664" s="16" t="str">
        <f aca="false">IF(B664="","",C664*E664)</f>
        <v/>
      </c>
      <c r="G664" s="16" t="str">
        <f aca="false">IF(B664="","",C664*IFERROR(INDEX(Produtos!$D$5:$D$44,MATCH(B664,Produtos!$A$5:$A$44,0)),0))</f>
        <v/>
      </c>
      <c r="H664" s="16" t="str">
        <f aca="false">IF(B664="","",F664*IFERROR(INDEX(Despesas!$B$5:$B$8,MATCH(D664,Despesas!$A$5:$A$8,0)),0))</f>
        <v/>
      </c>
      <c r="I664" s="16" t="str">
        <f aca="false">IF(B664="","",F664-G664-H664)</f>
        <v/>
      </c>
    </row>
    <row r="665" customFormat="false" ht="15" hidden="false" customHeight="false" outlineLevel="0" collapsed="false">
      <c r="A665" s="34"/>
      <c r="B665" s="30"/>
      <c r="C665" s="30"/>
      <c r="D665" s="30"/>
      <c r="E665" s="16" t="str">
        <f aca="false">IF(B665="","",IFERROR(INDEX(Produtos!$C$5:$C$44,MATCH(B665,Produtos!$A$5:$A$44,0)),0))</f>
        <v/>
      </c>
      <c r="F665" s="16" t="str">
        <f aca="false">IF(B665="","",C665*E665)</f>
        <v/>
      </c>
      <c r="G665" s="16" t="str">
        <f aca="false">IF(B665="","",C665*IFERROR(INDEX(Produtos!$D$5:$D$44,MATCH(B665,Produtos!$A$5:$A$44,0)),0))</f>
        <v/>
      </c>
      <c r="H665" s="16" t="str">
        <f aca="false">IF(B665="","",F665*IFERROR(INDEX(Despesas!$B$5:$B$8,MATCH(D665,Despesas!$A$5:$A$8,0)),0))</f>
        <v/>
      </c>
      <c r="I665" s="16" t="str">
        <f aca="false">IF(B665="","",F665-G665-H665)</f>
        <v/>
      </c>
    </row>
    <row r="666" customFormat="false" ht="15" hidden="false" customHeight="false" outlineLevel="0" collapsed="false">
      <c r="A666" s="34"/>
      <c r="B666" s="30"/>
      <c r="C666" s="30"/>
      <c r="D666" s="30"/>
      <c r="E666" s="16" t="str">
        <f aca="false">IF(B666="","",IFERROR(INDEX(Produtos!$C$5:$C$44,MATCH(B666,Produtos!$A$5:$A$44,0)),0))</f>
        <v/>
      </c>
      <c r="F666" s="16" t="str">
        <f aca="false">IF(B666="","",C666*E666)</f>
        <v/>
      </c>
      <c r="G666" s="16" t="str">
        <f aca="false">IF(B666="","",C666*IFERROR(INDEX(Produtos!$D$5:$D$44,MATCH(B666,Produtos!$A$5:$A$44,0)),0))</f>
        <v/>
      </c>
      <c r="H666" s="16" t="str">
        <f aca="false">IF(B666="","",F666*IFERROR(INDEX(Despesas!$B$5:$B$8,MATCH(D666,Despesas!$A$5:$A$8,0)),0))</f>
        <v/>
      </c>
      <c r="I666" s="16" t="str">
        <f aca="false">IF(B666="","",F666-G666-H666)</f>
        <v/>
      </c>
    </row>
    <row r="667" customFormat="false" ht="15" hidden="false" customHeight="false" outlineLevel="0" collapsed="false">
      <c r="A667" s="34"/>
      <c r="B667" s="30"/>
      <c r="C667" s="30"/>
      <c r="D667" s="30"/>
      <c r="E667" s="16" t="str">
        <f aca="false">IF(B667="","",IFERROR(INDEX(Produtos!$C$5:$C$44,MATCH(B667,Produtos!$A$5:$A$44,0)),0))</f>
        <v/>
      </c>
      <c r="F667" s="16" t="str">
        <f aca="false">IF(B667="","",C667*E667)</f>
        <v/>
      </c>
      <c r="G667" s="16" t="str">
        <f aca="false">IF(B667="","",C667*IFERROR(INDEX(Produtos!$D$5:$D$44,MATCH(B667,Produtos!$A$5:$A$44,0)),0))</f>
        <v/>
      </c>
      <c r="H667" s="16" t="str">
        <f aca="false">IF(B667="","",F667*IFERROR(INDEX(Despesas!$B$5:$B$8,MATCH(D667,Despesas!$A$5:$A$8,0)),0))</f>
        <v/>
      </c>
      <c r="I667" s="16" t="str">
        <f aca="false">IF(B667="","",F667-G667-H667)</f>
        <v/>
      </c>
    </row>
    <row r="668" customFormat="false" ht="15" hidden="false" customHeight="false" outlineLevel="0" collapsed="false">
      <c r="A668" s="34"/>
      <c r="B668" s="30"/>
      <c r="C668" s="30"/>
      <c r="D668" s="30"/>
      <c r="E668" s="16" t="str">
        <f aca="false">IF(B668="","",IFERROR(INDEX(Produtos!$C$5:$C$44,MATCH(B668,Produtos!$A$5:$A$44,0)),0))</f>
        <v/>
      </c>
      <c r="F668" s="16" t="str">
        <f aca="false">IF(B668="","",C668*E668)</f>
        <v/>
      </c>
      <c r="G668" s="16" t="str">
        <f aca="false">IF(B668="","",C668*IFERROR(INDEX(Produtos!$D$5:$D$44,MATCH(B668,Produtos!$A$5:$A$44,0)),0))</f>
        <v/>
      </c>
      <c r="H668" s="16" t="str">
        <f aca="false">IF(B668="","",F668*IFERROR(INDEX(Despesas!$B$5:$B$8,MATCH(D668,Despesas!$A$5:$A$8,0)),0))</f>
        <v/>
      </c>
      <c r="I668" s="16" t="str">
        <f aca="false">IF(B668="","",F668-G668-H668)</f>
        <v/>
      </c>
    </row>
    <row r="669" customFormat="false" ht="15" hidden="false" customHeight="false" outlineLevel="0" collapsed="false">
      <c r="A669" s="34"/>
      <c r="B669" s="30"/>
      <c r="C669" s="30"/>
      <c r="D669" s="30"/>
      <c r="E669" s="16" t="str">
        <f aca="false">IF(B669="","",IFERROR(INDEX(Produtos!$C$5:$C$44,MATCH(B669,Produtos!$A$5:$A$44,0)),0))</f>
        <v/>
      </c>
      <c r="F669" s="16" t="str">
        <f aca="false">IF(B669="","",C669*E669)</f>
        <v/>
      </c>
      <c r="G669" s="16" t="str">
        <f aca="false">IF(B669="","",C669*IFERROR(INDEX(Produtos!$D$5:$D$44,MATCH(B669,Produtos!$A$5:$A$44,0)),0))</f>
        <v/>
      </c>
      <c r="H669" s="16" t="str">
        <f aca="false">IF(B669="","",F669*IFERROR(INDEX(Despesas!$B$5:$B$8,MATCH(D669,Despesas!$A$5:$A$8,0)),0))</f>
        <v/>
      </c>
      <c r="I669" s="16" t="str">
        <f aca="false">IF(B669="","",F669-G669-H669)</f>
        <v/>
      </c>
    </row>
    <row r="670" customFormat="false" ht="15" hidden="false" customHeight="false" outlineLevel="0" collapsed="false">
      <c r="A670" s="34"/>
      <c r="B670" s="30"/>
      <c r="C670" s="30"/>
      <c r="D670" s="30"/>
      <c r="E670" s="16" t="str">
        <f aca="false">IF(B670="","",IFERROR(INDEX(Produtos!$C$5:$C$44,MATCH(B670,Produtos!$A$5:$A$44,0)),0))</f>
        <v/>
      </c>
      <c r="F670" s="16" t="str">
        <f aca="false">IF(B670="","",C670*E670)</f>
        <v/>
      </c>
      <c r="G670" s="16" t="str">
        <f aca="false">IF(B670="","",C670*IFERROR(INDEX(Produtos!$D$5:$D$44,MATCH(B670,Produtos!$A$5:$A$44,0)),0))</f>
        <v/>
      </c>
      <c r="H670" s="16" t="str">
        <f aca="false">IF(B670="","",F670*IFERROR(INDEX(Despesas!$B$5:$B$8,MATCH(D670,Despesas!$A$5:$A$8,0)),0))</f>
        <v/>
      </c>
      <c r="I670" s="16" t="str">
        <f aca="false">IF(B670="","",F670-G670-H670)</f>
        <v/>
      </c>
    </row>
    <row r="671" customFormat="false" ht="15" hidden="false" customHeight="false" outlineLevel="0" collapsed="false">
      <c r="A671" s="34"/>
      <c r="B671" s="30"/>
      <c r="C671" s="30"/>
      <c r="D671" s="30"/>
      <c r="E671" s="16" t="str">
        <f aca="false">IF(B671="","",IFERROR(INDEX(Produtos!$C$5:$C$44,MATCH(B671,Produtos!$A$5:$A$44,0)),0))</f>
        <v/>
      </c>
      <c r="F671" s="16" t="str">
        <f aca="false">IF(B671="","",C671*E671)</f>
        <v/>
      </c>
      <c r="G671" s="16" t="str">
        <f aca="false">IF(B671="","",C671*IFERROR(INDEX(Produtos!$D$5:$D$44,MATCH(B671,Produtos!$A$5:$A$44,0)),0))</f>
        <v/>
      </c>
      <c r="H671" s="16" t="str">
        <f aca="false">IF(B671="","",F671*IFERROR(INDEX(Despesas!$B$5:$B$8,MATCH(D671,Despesas!$A$5:$A$8,0)),0))</f>
        <v/>
      </c>
      <c r="I671" s="16" t="str">
        <f aca="false">IF(B671="","",F671-G671-H671)</f>
        <v/>
      </c>
    </row>
    <row r="672" customFormat="false" ht="15" hidden="false" customHeight="false" outlineLevel="0" collapsed="false">
      <c r="A672" s="34"/>
      <c r="B672" s="30"/>
      <c r="C672" s="30"/>
      <c r="D672" s="30"/>
      <c r="E672" s="16" t="str">
        <f aca="false">IF(B672="","",IFERROR(INDEX(Produtos!$C$5:$C$44,MATCH(B672,Produtos!$A$5:$A$44,0)),0))</f>
        <v/>
      </c>
      <c r="F672" s="16" t="str">
        <f aca="false">IF(B672="","",C672*E672)</f>
        <v/>
      </c>
      <c r="G672" s="16" t="str">
        <f aca="false">IF(B672="","",C672*IFERROR(INDEX(Produtos!$D$5:$D$44,MATCH(B672,Produtos!$A$5:$A$44,0)),0))</f>
        <v/>
      </c>
      <c r="H672" s="16" t="str">
        <f aca="false">IF(B672="","",F672*IFERROR(INDEX(Despesas!$B$5:$B$8,MATCH(D672,Despesas!$A$5:$A$8,0)),0))</f>
        <v/>
      </c>
      <c r="I672" s="16" t="str">
        <f aca="false">IF(B672="","",F672-G672-H672)</f>
        <v/>
      </c>
    </row>
    <row r="673" customFormat="false" ht="15" hidden="false" customHeight="false" outlineLevel="0" collapsed="false">
      <c r="A673" s="34"/>
      <c r="B673" s="30"/>
      <c r="C673" s="30"/>
      <c r="D673" s="30"/>
      <c r="E673" s="16" t="str">
        <f aca="false">IF(B673="","",IFERROR(INDEX(Produtos!$C$5:$C$44,MATCH(B673,Produtos!$A$5:$A$44,0)),0))</f>
        <v/>
      </c>
      <c r="F673" s="16" t="str">
        <f aca="false">IF(B673="","",C673*E673)</f>
        <v/>
      </c>
      <c r="G673" s="16" t="str">
        <f aca="false">IF(B673="","",C673*IFERROR(INDEX(Produtos!$D$5:$D$44,MATCH(B673,Produtos!$A$5:$A$44,0)),0))</f>
        <v/>
      </c>
      <c r="H673" s="16" t="str">
        <f aca="false">IF(B673="","",F673*IFERROR(INDEX(Despesas!$B$5:$B$8,MATCH(D673,Despesas!$A$5:$A$8,0)),0))</f>
        <v/>
      </c>
      <c r="I673" s="16" t="str">
        <f aca="false">IF(B673="","",F673-G673-H673)</f>
        <v/>
      </c>
    </row>
    <row r="674" customFormat="false" ht="15" hidden="false" customHeight="false" outlineLevel="0" collapsed="false">
      <c r="A674" s="34"/>
      <c r="B674" s="30"/>
      <c r="C674" s="30"/>
      <c r="D674" s="30"/>
      <c r="E674" s="16" t="str">
        <f aca="false">IF(B674="","",IFERROR(INDEX(Produtos!$C$5:$C$44,MATCH(B674,Produtos!$A$5:$A$44,0)),0))</f>
        <v/>
      </c>
      <c r="F674" s="16" t="str">
        <f aca="false">IF(B674="","",C674*E674)</f>
        <v/>
      </c>
      <c r="G674" s="16" t="str">
        <f aca="false">IF(B674="","",C674*IFERROR(INDEX(Produtos!$D$5:$D$44,MATCH(B674,Produtos!$A$5:$A$44,0)),0))</f>
        <v/>
      </c>
      <c r="H674" s="16" t="str">
        <f aca="false">IF(B674="","",F674*IFERROR(INDEX(Despesas!$B$5:$B$8,MATCH(D674,Despesas!$A$5:$A$8,0)),0))</f>
        <v/>
      </c>
      <c r="I674" s="16" t="str">
        <f aca="false">IF(B674="","",F674-G674-H674)</f>
        <v/>
      </c>
    </row>
    <row r="675" customFormat="false" ht="15" hidden="false" customHeight="false" outlineLevel="0" collapsed="false">
      <c r="A675" s="34"/>
      <c r="B675" s="30"/>
      <c r="C675" s="30"/>
      <c r="D675" s="30"/>
      <c r="E675" s="16" t="str">
        <f aca="false">IF(B675="","",IFERROR(INDEX(Produtos!$C$5:$C$44,MATCH(B675,Produtos!$A$5:$A$44,0)),0))</f>
        <v/>
      </c>
      <c r="F675" s="16" t="str">
        <f aca="false">IF(B675="","",C675*E675)</f>
        <v/>
      </c>
      <c r="G675" s="16" t="str">
        <f aca="false">IF(B675="","",C675*IFERROR(INDEX(Produtos!$D$5:$D$44,MATCH(B675,Produtos!$A$5:$A$44,0)),0))</f>
        <v/>
      </c>
      <c r="H675" s="16" t="str">
        <f aca="false">IF(B675="","",F675*IFERROR(INDEX(Despesas!$B$5:$B$8,MATCH(D675,Despesas!$A$5:$A$8,0)),0))</f>
        <v/>
      </c>
      <c r="I675" s="16" t="str">
        <f aca="false">IF(B675="","",F675-G675-H675)</f>
        <v/>
      </c>
    </row>
    <row r="676" customFormat="false" ht="15" hidden="false" customHeight="false" outlineLevel="0" collapsed="false">
      <c r="A676" s="34"/>
      <c r="B676" s="30"/>
      <c r="C676" s="30"/>
      <c r="D676" s="30"/>
      <c r="E676" s="16" t="str">
        <f aca="false">IF(B676="","",IFERROR(INDEX(Produtos!$C$5:$C$44,MATCH(B676,Produtos!$A$5:$A$44,0)),0))</f>
        <v/>
      </c>
      <c r="F676" s="16" t="str">
        <f aca="false">IF(B676="","",C676*E676)</f>
        <v/>
      </c>
      <c r="G676" s="16" t="str">
        <f aca="false">IF(B676="","",C676*IFERROR(INDEX(Produtos!$D$5:$D$44,MATCH(B676,Produtos!$A$5:$A$44,0)),0))</f>
        <v/>
      </c>
      <c r="H676" s="16" t="str">
        <f aca="false">IF(B676="","",F676*IFERROR(INDEX(Despesas!$B$5:$B$8,MATCH(D676,Despesas!$A$5:$A$8,0)),0))</f>
        <v/>
      </c>
      <c r="I676" s="16" t="str">
        <f aca="false">IF(B676="","",F676-G676-H676)</f>
        <v/>
      </c>
    </row>
    <row r="677" customFormat="false" ht="15" hidden="false" customHeight="false" outlineLevel="0" collapsed="false">
      <c r="A677" s="34"/>
      <c r="B677" s="30"/>
      <c r="C677" s="30"/>
      <c r="D677" s="30"/>
      <c r="E677" s="16" t="str">
        <f aca="false">IF(B677="","",IFERROR(INDEX(Produtos!$C$5:$C$44,MATCH(B677,Produtos!$A$5:$A$44,0)),0))</f>
        <v/>
      </c>
      <c r="F677" s="16" t="str">
        <f aca="false">IF(B677="","",C677*E677)</f>
        <v/>
      </c>
      <c r="G677" s="16" t="str">
        <f aca="false">IF(B677="","",C677*IFERROR(INDEX(Produtos!$D$5:$D$44,MATCH(B677,Produtos!$A$5:$A$44,0)),0))</f>
        <v/>
      </c>
      <c r="H677" s="16" t="str">
        <f aca="false">IF(B677="","",F677*IFERROR(INDEX(Despesas!$B$5:$B$8,MATCH(D677,Despesas!$A$5:$A$8,0)),0))</f>
        <v/>
      </c>
      <c r="I677" s="16" t="str">
        <f aca="false">IF(B677="","",F677-G677-H677)</f>
        <v/>
      </c>
    </row>
    <row r="678" customFormat="false" ht="15" hidden="false" customHeight="false" outlineLevel="0" collapsed="false">
      <c r="A678" s="34"/>
      <c r="B678" s="30"/>
      <c r="C678" s="30"/>
      <c r="D678" s="30"/>
      <c r="E678" s="16" t="str">
        <f aca="false">IF(B678="","",IFERROR(INDEX(Produtos!$C$5:$C$44,MATCH(B678,Produtos!$A$5:$A$44,0)),0))</f>
        <v/>
      </c>
      <c r="F678" s="16" t="str">
        <f aca="false">IF(B678="","",C678*E678)</f>
        <v/>
      </c>
      <c r="G678" s="16" t="str">
        <f aca="false">IF(B678="","",C678*IFERROR(INDEX(Produtos!$D$5:$D$44,MATCH(B678,Produtos!$A$5:$A$44,0)),0))</f>
        <v/>
      </c>
      <c r="H678" s="16" t="str">
        <f aca="false">IF(B678="","",F678*IFERROR(INDEX(Despesas!$B$5:$B$8,MATCH(D678,Despesas!$A$5:$A$8,0)),0))</f>
        <v/>
      </c>
      <c r="I678" s="16" t="str">
        <f aca="false">IF(B678="","",F678-G678-H678)</f>
        <v/>
      </c>
    </row>
    <row r="679" customFormat="false" ht="15" hidden="false" customHeight="false" outlineLevel="0" collapsed="false">
      <c r="A679" s="34"/>
      <c r="B679" s="30"/>
      <c r="C679" s="30"/>
      <c r="D679" s="30"/>
      <c r="E679" s="16" t="str">
        <f aca="false">IF(B679="","",IFERROR(INDEX(Produtos!$C$5:$C$44,MATCH(B679,Produtos!$A$5:$A$44,0)),0))</f>
        <v/>
      </c>
      <c r="F679" s="16" t="str">
        <f aca="false">IF(B679="","",C679*E679)</f>
        <v/>
      </c>
      <c r="G679" s="16" t="str">
        <f aca="false">IF(B679="","",C679*IFERROR(INDEX(Produtos!$D$5:$D$44,MATCH(B679,Produtos!$A$5:$A$44,0)),0))</f>
        <v/>
      </c>
      <c r="H679" s="16" t="str">
        <f aca="false">IF(B679="","",F679*IFERROR(INDEX(Despesas!$B$5:$B$8,MATCH(D679,Despesas!$A$5:$A$8,0)),0))</f>
        <v/>
      </c>
      <c r="I679" s="16" t="str">
        <f aca="false">IF(B679="","",F679-G679-H679)</f>
        <v/>
      </c>
    </row>
    <row r="680" customFormat="false" ht="15" hidden="false" customHeight="false" outlineLevel="0" collapsed="false">
      <c r="A680" s="34"/>
      <c r="B680" s="30"/>
      <c r="C680" s="30"/>
      <c r="D680" s="30"/>
      <c r="E680" s="16" t="str">
        <f aca="false">IF(B680="","",IFERROR(INDEX(Produtos!$C$5:$C$44,MATCH(B680,Produtos!$A$5:$A$44,0)),0))</f>
        <v/>
      </c>
      <c r="F680" s="16" t="str">
        <f aca="false">IF(B680="","",C680*E680)</f>
        <v/>
      </c>
      <c r="G680" s="16" t="str">
        <f aca="false">IF(B680="","",C680*IFERROR(INDEX(Produtos!$D$5:$D$44,MATCH(B680,Produtos!$A$5:$A$44,0)),0))</f>
        <v/>
      </c>
      <c r="H680" s="16" t="str">
        <f aca="false">IF(B680="","",F680*IFERROR(INDEX(Despesas!$B$5:$B$8,MATCH(D680,Despesas!$A$5:$A$8,0)),0))</f>
        <v/>
      </c>
      <c r="I680" s="16" t="str">
        <f aca="false">IF(B680="","",F680-G680-H680)</f>
        <v/>
      </c>
    </row>
    <row r="681" customFormat="false" ht="15" hidden="false" customHeight="false" outlineLevel="0" collapsed="false">
      <c r="A681" s="34"/>
      <c r="B681" s="30"/>
      <c r="C681" s="30"/>
      <c r="D681" s="30"/>
      <c r="E681" s="16" t="str">
        <f aca="false">IF(B681="","",IFERROR(INDEX(Produtos!$C$5:$C$44,MATCH(B681,Produtos!$A$5:$A$44,0)),0))</f>
        <v/>
      </c>
      <c r="F681" s="16" t="str">
        <f aca="false">IF(B681="","",C681*E681)</f>
        <v/>
      </c>
      <c r="G681" s="16" t="str">
        <f aca="false">IF(B681="","",C681*IFERROR(INDEX(Produtos!$D$5:$D$44,MATCH(B681,Produtos!$A$5:$A$44,0)),0))</f>
        <v/>
      </c>
      <c r="H681" s="16" t="str">
        <f aca="false">IF(B681="","",F681*IFERROR(INDEX(Despesas!$B$5:$B$8,MATCH(D681,Despesas!$A$5:$A$8,0)),0))</f>
        <v/>
      </c>
      <c r="I681" s="16" t="str">
        <f aca="false">IF(B681="","",F681-G681-H681)</f>
        <v/>
      </c>
    </row>
    <row r="682" customFormat="false" ht="15" hidden="false" customHeight="false" outlineLevel="0" collapsed="false">
      <c r="A682" s="34"/>
      <c r="B682" s="30"/>
      <c r="C682" s="30"/>
      <c r="D682" s="30"/>
      <c r="E682" s="16" t="str">
        <f aca="false">IF(B682="","",IFERROR(INDEX(Produtos!$C$5:$C$44,MATCH(B682,Produtos!$A$5:$A$44,0)),0))</f>
        <v/>
      </c>
      <c r="F682" s="16" t="str">
        <f aca="false">IF(B682="","",C682*E682)</f>
        <v/>
      </c>
      <c r="G682" s="16" t="str">
        <f aca="false">IF(B682="","",C682*IFERROR(INDEX(Produtos!$D$5:$D$44,MATCH(B682,Produtos!$A$5:$A$44,0)),0))</f>
        <v/>
      </c>
      <c r="H682" s="16" t="str">
        <f aca="false">IF(B682="","",F682*IFERROR(INDEX(Despesas!$B$5:$B$8,MATCH(D682,Despesas!$A$5:$A$8,0)),0))</f>
        <v/>
      </c>
      <c r="I682" s="16" t="str">
        <f aca="false">IF(B682="","",F682-G682-H682)</f>
        <v/>
      </c>
    </row>
    <row r="683" customFormat="false" ht="15" hidden="false" customHeight="false" outlineLevel="0" collapsed="false">
      <c r="A683" s="34"/>
      <c r="B683" s="30"/>
      <c r="C683" s="30"/>
      <c r="D683" s="30"/>
      <c r="E683" s="16" t="str">
        <f aca="false">IF(B683="","",IFERROR(INDEX(Produtos!$C$5:$C$44,MATCH(B683,Produtos!$A$5:$A$44,0)),0))</f>
        <v/>
      </c>
      <c r="F683" s="16" t="str">
        <f aca="false">IF(B683="","",C683*E683)</f>
        <v/>
      </c>
      <c r="G683" s="16" t="str">
        <f aca="false">IF(B683="","",C683*IFERROR(INDEX(Produtos!$D$5:$D$44,MATCH(B683,Produtos!$A$5:$A$44,0)),0))</f>
        <v/>
      </c>
      <c r="H683" s="16" t="str">
        <f aca="false">IF(B683="","",F683*IFERROR(INDEX(Despesas!$B$5:$B$8,MATCH(D683,Despesas!$A$5:$A$8,0)),0))</f>
        <v/>
      </c>
      <c r="I683" s="16" t="str">
        <f aca="false">IF(B683="","",F683-G683-H683)</f>
        <v/>
      </c>
    </row>
    <row r="684" customFormat="false" ht="15" hidden="false" customHeight="false" outlineLevel="0" collapsed="false">
      <c r="A684" s="34"/>
      <c r="B684" s="30"/>
      <c r="C684" s="30"/>
      <c r="D684" s="30"/>
      <c r="E684" s="16" t="str">
        <f aca="false">IF(B684="","",IFERROR(INDEX(Produtos!$C$5:$C$44,MATCH(B684,Produtos!$A$5:$A$44,0)),0))</f>
        <v/>
      </c>
      <c r="F684" s="16" t="str">
        <f aca="false">IF(B684="","",C684*E684)</f>
        <v/>
      </c>
      <c r="G684" s="16" t="str">
        <f aca="false">IF(B684="","",C684*IFERROR(INDEX(Produtos!$D$5:$D$44,MATCH(B684,Produtos!$A$5:$A$44,0)),0))</f>
        <v/>
      </c>
      <c r="H684" s="16" t="str">
        <f aca="false">IF(B684="","",F684*IFERROR(INDEX(Despesas!$B$5:$B$8,MATCH(D684,Despesas!$A$5:$A$8,0)),0))</f>
        <v/>
      </c>
      <c r="I684" s="16" t="str">
        <f aca="false">IF(B684="","",F684-G684-H684)</f>
        <v/>
      </c>
    </row>
    <row r="685" customFormat="false" ht="15" hidden="false" customHeight="false" outlineLevel="0" collapsed="false">
      <c r="A685" s="34"/>
      <c r="B685" s="30"/>
      <c r="C685" s="30"/>
      <c r="D685" s="30"/>
      <c r="E685" s="16" t="str">
        <f aca="false">IF(B685="","",IFERROR(INDEX(Produtos!$C$5:$C$44,MATCH(B685,Produtos!$A$5:$A$44,0)),0))</f>
        <v/>
      </c>
      <c r="F685" s="16" t="str">
        <f aca="false">IF(B685="","",C685*E685)</f>
        <v/>
      </c>
      <c r="G685" s="16" t="str">
        <f aca="false">IF(B685="","",C685*IFERROR(INDEX(Produtos!$D$5:$D$44,MATCH(B685,Produtos!$A$5:$A$44,0)),0))</f>
        <v/>
      </c>
      <c r="H685" s="16" t="str">
        <f aca="false">IF(B685="","",F685*IFERROR(INDEX(Despesas!$B$5:$B$8,MATCH(D685,Despesas!$A$5:$A$8,0)),0))</f>
        <v/>
      </c>
      <c r="I685" s="16" t="str">
        <f aca="false">IF(B685="","",F685-G685-H685)</f>
        <v/>
      </c>
    </row>
    <row r="686" customFormat="false" ht="15" hidden="false" customHeight="false" outlineLevel="0" collapsed="false">
      <c r="A686" s="34"/>
      <c r="B686" s="30"/>
      <c r="C686" s="30"/>
      <c r="D686" s="30"/>
      <c r="E686" s="16" t="str">
        <f aca="false">IF(B686="","",IFERROR(INDEX(Produtos!$C$5:$C$44,MATCH(B686,Produtos!$A$5:$A$44,0)),0))</f>
        <v/>
      </c>
      <c r="F686" s="16" t="str">
        <f aca="false">IF(B686="","",C686*E686)</f>
        <v/>
      </c>
      <c r="G686" s="16" t="str">
        <f aca="false">IF(B686="","",C686*IFERROR(INDEX(Produtos!$D$5:$D$44,MATCH(B686,Produtos!$A$5:$A$44,0)),0))</f>
        <v/>
      </c>
      <c r="H686" s="16" t="str">
        <f aca="false">IF(B686="","",F686*IFERROR(INDEX(Despesas!$B$5:$B$8,MATCH(D686,Despesas!$A$5:$A$8,0)),0))</f>
        <v/>
      </c>
      <c r="I686" s="16" t="str">
        <f aca="false">IF(B686="","",F686-G686-H686)</f>
        <v/>
      </c>
    </row>
    <row r="687" customFormat="false" ht="15" hidden="false" customHeight="false" outlineLevel="0" collapsed="false">
      <c r="A687" s="34"/>
      <c r="B687" s="30"/>
      <c r="C687" s="30"/>
      <c r="D687" s="30"/>
      <c r="E687" s="16" t="str">
        <f aca="false">IF(B687="","",IFERROR(INDEX(Produtos!$C$5:$C$44,MATCH(B687,Produtos!$A$5:$A$44,0)),0))</f>
        <v/>
      </c>
      <c r="F687" s="16" t="str">
        <f aca="false">IF(B687="","",C687*E687)</f>
        <v/>
      </c>
      <c r="G687" s="16" t="str">
        <f aca="false">IF(B687="","",C687*IFERROR(INDEX(Produtos!$D$5:$D$44,MATCH(B687,Produtos!$A$5:$A$44,0)),0))</f>
        <v/>
      </c>
      <c r="H687" s="16" t="str">
        <f aca="false">IF(B687="","",F687*IFERROR(INDEX(Despesas!$B$5:$B$8,MATCH(D687,Despesas!$A$5:$A$8,0)),0))</f>
        <v/>
      </c>
      <c r="I687" s="16" t="str">
        <f aca="false">IF(B687="","",F687-G687-H687)</f>
        <v/>
      </c>
    </row>
    <row r="688" customFormat="false" ht="15" hidden="false" customHeight="false" outlineLevel="0" collapsed="false">
      <c r="A688" s="34"/>
      <c r="B688" s="30"/>
      <c r="C688" s="30"/>
      <c r="D688" s="30"/>
      <c r="E688" s="16" t="str">
        <f aca="false">IF(B688="","",IFERROR(INDEX(Produtos!$C$5:$C$44,MATCH(B688,Produtos!$A$5:$A$44,0)),0))</f>
        <v/>
      </c>
      <c r="F688" s="16" t="str">
        <f aca="false">IF(B688="","",C688*E688)</f>
        <v/>
      </c>
      <c r="G688" s="16" t="str">
        <f aca="false">IF(B688="","",C688*IFERROR(INDEX(Produtos!$D$5:$D$44,MATCH(B688,Produtos!$A$5:$A$44,0)),0))</f>
        <v/>
      </c>
      <c r="H688" s="16" t="str">
        <f aca="false">IF(B688="","",F688*IFERROR(INDEX(Despesas!$B$5:$B$8,MATCH(D688,Despesas!$A$5:$A$8,0)),0))</f>
        <v/>
      </c>
      <c r="I688" s="16" t="str">
        <f aca="false">IF(B688="","",F688-G688-H688)</f>
        <v/>
      </c>
    </row>
    <row r="689" customFormat="false" ht="15" hidden="false" customHeight="false" outlineLevel="0" collapsed="false">
      <c r="A689" s="34"/>
      <c r="B689" s="30"/>
      <c r="C689" s="30"/>
      <c r="D689" s="30"/>
      <c r="E689" s="16" t="str">
        <f aca="false">IF(B689="","",IFERROR(INDEX(Produtos!$C$5:$C$44,MATCH(B689,Produtos!$A$5:$A$44,0)),0))</f>
        <v/>
      </c>
      <c r="F689" s="16" t="str">
        <f aca="false">IF(B689="","",C689*E689)</f>
        <v/>
      </c>
      <c r="G689" s="16" t="str">
        <f aca="false">IF(B689="","",C689*IFERROR(INDEX(Produtos!$D$5:$D$44,MATCH(B689,Produtos!$A$5:$A$44,0)),0))</f>
        <v/>
      </c>
      <c r="H689" s="16" t="str">
        <f aca="false">IF(B689="","",F689*IFERROR(INDEX(Despesas!$B$5:$B$8,MATCH(D689,Despesas!$A$5:$A$8,0)),0))</f>
        <v/>
      </c>
      <c r="I689" s="16" t="str">
        <f aca="false">IF(B689="","",F689-G689-H689)</f>
        <v/>
      </c>
    </row>
    <row r="690" customFormat="false" ht="15" hidden="false" customHeight="false" outlineLevel="0" collapsed="false">
      <c r="A690" s="34"/>
      <c r="B690" s="30"/>
      <c r="C690" s="30"/>
      <c r="D690" s="30"/>
      <c r="E690" s="16" t="str">
        <f aca="false">IF(B690="","",IFERROR(INDEX(Produtos!$C$5:$C$44,MATCH(B690,Produtos!$A$5:$A$44,0)),0))</f>
        <v/>
      </c>
      <c r="F690" s="16" t="str">
        <f aca="false">IF(B690="","",C690*E690)</f>
        <v/>
      </c>
      <c r="G690" s="16" t="str">
        <f aca="false">IF(B690="","",C690*IFERROR(INDEX(Produtos!$D$5:$D$44,MATCH(B690,Produtos!$A$5:$A$44,0)),0))</f>
        <v/>
      </c>
      <c r="H690" s="16" t="str">
        <f aca="false">IF(B690="","",F690*IFERROR(INDEX(Despesas!$B$5:$B$8,MATCH(D690,Despesas!$A$5:$A$8,0)),0))</f>
        <v/>
      </c>
      <c r="I690" s="16" t="str">
        <f aca="false">IF(B690="","",F690-G690-H690)</f>
        <v/>
      </c>
    </row>
    <row r="691" customFormat="false" ht="15" hidden="false" customHeight="false" outlineLevel="0" collapsed="false">
      <c r="A691" s="34"/>
      <c r="B691" s="30"/>
      <c r="C691" s="30"/>
      <c r="D691" s="30"/>
      <c r="E691" s="16" t="str">
        <f aca="false">IF(B691="","",IFERROR(INDEX(Produtos!$C$5:$C$44,MATCH(B691,Produtos!$A$5:$A$44,0)),0))</f>
        <v/>
      </c>
      <c r="F691" s="16" t="str">
        <f aca="false">IF(B691="","",C691*E691)</f>
        <v/>
      </c>
      <c r="G691" s="16" t="str">
        <f aca="false">IF(B691="","",C691*IFERROR(INDEX(Produtos!$D$5:$D$44,MATCH(B691,Produtos!$A$5:$A$44,0)),0))</f>
        <v/>
      </c>
      <c r="H691" s="16" t="str">
        <f aca="false">IF(B691="","",F691*IFERROR(INDEX(Despesas!$B$5:$B$8,MATCH(D691,Despesas!$A$5:$A$8,0)),0))</f>
        <v/>
      </c>
      <c r="I691" s="16" t="str">
        <f aca="false">IF(B691="","",F691-G691-H691)</f>
        <v/>
      </c>
    </row>
    <row r="692" customFormat="false" ht="15" hidden="false" customHeight="false" outlineLevel="0" collapsed="false">
      <c r="A692" s="34"/>
      <c r="B692" s="30"/>
      <c r="C692" s="30"/>
      <c r="D692" s="30"/>
      <c r="E692" s="16" t="str">
        <f aca="false">IF(B692="","",IFERROR(INDEX(Produtos!$C$5:$C$44,MATCH(B692,Produtos!$A$5:$A$44,0)),0))</f>
        <v/>
      </c>
      <c r="F692" s="16" t="str">
        <f aca="false">IF(B692="","",C692*E692)</f>
        <v/>
      </c>
      <c r="G692" s="16" t="str">
        <f aca="false">IF(B692="","",C692*IFERROR(INDEX(Produtos!$D$5:$D$44,MATCH(B692,Produtos!$A$5:$A$44,0)),0))</f>
        <v/>
      </c>
      <c r="H692" s="16" t="str">
        <f aca="false">IF(B692="","",F692*IFERROR(INDEX(Despesas!$B$5:$B$8,MATCH(D692,Despesas!$A$5:$A$8,0)),0))</f>
        <v/>
      </c>
      <c r="I692" s="16" t="str">
        <f aca="false">IF(B692="","",F692-G692-H692)</f>
        <v/>
      </c>
    </row>
    <row r="693" customFormat="false" ht="15" hidden="false" customHeight="false" outlineLevel="0" collapsed="false">
      <c r="A693" s="34"/>
      <c r="B693" s="30"/>
      <c r="C693" s="30"/>
      <c r="D693" s="30"/>
      <c r="E693" s="16" t="str">
        <f aca="false">IF(B693="","",IFERROR(INDEX(Produtos!$C$5:$C$44,MATCH(B693,Produtos!$A$5:$A$44,0)),0))</f>
        <v/>
      </c>
      <c r="F693" s="16" t="str">
        <f aca="false">IF(B693="","",C693*E693)</f>
        <v/>
      </c>
      <c r="G693" s="16" t="str">
        <f aca="false">IF(B693="","",C693*IFERROR(INDEX(Produtos!$D$5:$D$44,MATCH(B693,Produtos!$A$5:$A$44,0)),0))</f>
        <v/>
      </c>
      <c r="H693" s="16" t="str">
        <f aca="false">IF(B693="","",F693*IFERROR(INDEX(Despesas!$B$5:$B$8,MATCH(D693,Despesas!$A$5:$A$8,0)),0))</f>
        <v/>
      </c>
      <c r="I693" s="16" t="str">
        <f aca="false">IF(B693="","",F693-G693-H693)</f>
        <v/>
      </c>
    </row>
    <row r="694" customFormat="false" ht="15" hidden="false" customHeight="false" outlineLevel="0" collapsed="false">
      <c r="A694" s="34"/>
      <c r="B694" s="30"/>
      <c r="C694" s="30"/>
      <c r="D694" s="30"/>
      <c r="E694" s="16" t="str">
        <f aca="false">IF(B694="","",IFERROR(INDEX(Produtos!$C$5:$C$44,MATCH(B694,Produtos!$A$5:$A$44,0)),0))</f>
        <v/>
      </c>
      <c r="F694" s="16" t="str">
        <f aca="false">IF(B694="","",C694*E694)</f>
        <v/>
      </c>
      <c r="G694" s="16" t="str">
        <f aca="false">IF(B694="","",C694*IFERROR(INDEX(Produtos!$D$5:$D$44,MATCH(B694,Produtos!$A$5:$A$44,0)),0))</f>
        <v/>
      </c>
      <c r="H694" s="16" t="str">
        <f aca="false">IF(B694="","",F694*IFERROR(INDEX(Despesas!$B$5:$B$8,MATCH(D694,Despesas!$A$5:$A$8,0)),0))</f>
        <v/>
      </c>
      <c r="I694" s="16" t="str">
        <f aca="false">IF(B694="","",F694-G694-H694)</f>
        <v/>
      </c>
    </row>
    <row r="695" customFormat="false" ht="15" hidden="false" customHeight="false" outlineLevel="0" collapsed="false">
      <c r="A695" s="34"/>
      <c r="B695" s="30"/>
      <c r="C695" s="30"/>
      <c r="D695" s="30"/>
      <c r="E695" s="16" t="str">
        <f aca="false">IF(B695="","",IFERROR(INDEX(Produtos!$C$5:$C$44,MATCH(B695,Produtos!$A$5:$A$44,0)),0))</f>
        <v/>
      </c>
      <c r="F695" s="16" t="str">
        <f aca="false">IF(B695="","",C695*E695)</f>
        <v/>
      </c>
      <c r="G695" s="16" t="str">
        <f aca="false">IF(B695="","",C695*IFERROR(INDEX(Produtos!$D$5:$D$44,MATCH(B695,Produtos!$A$5:$A$44,0)),0))</f>
        <v/>
      </c>
      <c r="H695" s="16" t="str">
        <f aca="false">IF(B695="","",F695*IFERROR(INDEX(Despesas!$B$5:$B$8,MATCH(D695,Despesas!$A$5:$A$8,0)),0))</f>
        <v/>
      </c>
      <c r="I695" s="16" t="str">
        <f aca="false">IF(B695="","",F695-G695-H695)</f>
        <v/>
      </c>
    </row>
    <row r="696" customFormat="false" ht="15" hidden="false" customHeight="false" outlineLevel="0" collapsed="false">
      <c r="A696" s="34"/>
      <c r="B696" s="30"/>
      <c r="C696" s="30"/>
      <c r="D696" s="30"/>
      <c r="E696" s="16" t="str">
        <f aca="false">IF(B696="","",IFERROR(INDEX(Produtos!$C$5:$C$44,MATCH(B696,Produtos!$A$5:$A$44,0)),0))</f>
        <v/>
      </c>
      <c r="F696" s="16" t="str">
        <f aca="false">IF(B696="","",C696*E696)</f>
        <v/>
      </c>
      <c r="G696" s="16" t="str">
        <f aca="false">IF(B696="","",C696*IFERROR(INDEX(Produtos!$D$5:$D$44,MATCH(B696,Produtos!$A$5:$A$44,0)),0))</f>
        <v/>
      </c>
      <c r="H696" s="16" t="str">
        <f aca="false">IF(B696="","",F696*IFERROR(INDEX(Despesas!$B$5:$B$8,MATCH(D696,Despesas!$A$5:$A$8,0)),0))</f>
        <v/>
      </c>
      <c r="I696" s="16" t="str">
        <f aca="false">IF(B696="","",F696-G696-H696)</f>
        <v/>
      </c>
    </row>
    <row r="697" customFormat="false" ht="15" hidden="false" customHeight="false" outlineLevel="0" collapsed="false">
      <c r="A697" s="34"/>
      <c r="B697" s="30"/>
      <c r="C697" s="30"/>
      <c r="D697" s="30"/>
      <c r="E697" s="16" t="str">
        <f aca="false">IF(B697="","",IFERROR(INDEX(Produtos!$C$5:$C$44,MATCH(B697,Produtos!$A$5:$A$44,0)),0))</f>
        <v/>
      </c>
      <c r="F697" s="16" t="str">
        <f aca="false">IF(B697="","",C697*E697)</f>
        <v/>
      </c>
      <c r="G697" s="16" t="str">
        <f aca="false">IF(B697="","",C697*IFERROR(INDEX(Produtos!$D$5:$D$44,MATCH(B697,Produtos!$A$5:$A$44,0)),0))</f>
        <v/>
      </c>
      <c r="H697" s="16" t="str">
        <f aca="false">IF(B697="","",F697*IFERROR(INDEX(Despesas!$B$5:$B$8,MATCH(D697,Despesas!$A$5:$A$8,0)),0))</f>
        <v/>
      </c>
      <c r="I697" s="16" t="str">
        <f aca="false">IF(B697="","",F697-G697-H697)</f>
        <v/>
      </c>
    </row>
    <row r="698" customFormat="false" ht="15" hidden="false" customHeight="false" outlineLevel="0" collapsed="false">
      <c r="A698" s="34"/>
      <c r="B698" s="30"/>
      <c r="C698" s="30"/>
      <c r="D698" s="30"/>
      <c r="E698" s="16" t="str">
        <f aca="false">IF(B698="","",IFERROR(INDEX(Produtos!$C$5:$C$44,MATCH(B698,Produtos!$A$5:$A$44,0)),0))</f>
        <v/>
      </c>
      <c r="F698" s="16" t="str">
        <f aca="false">IF(B698="","",C698*E698)</f>
        <v/>
      </c>
      <c r="G698" s="16" t="str">
        <f aca="false">IF(B698="","",C698*IFERROR(INDEX(Produtos!$D$5:$D$44,MATCH(B698,Produtos!$A$5:$A$44,0)),0))</f>
        <v/>
      </c>
      <c r="H698" s="16" t="str">
        <f aca="false">IF(B698="","",F698*IFERROR(INDEX(Despesas!$B$5:$B$8,MATCH(D698,Despesas!$A$5:$A$8,0)),0))</f>
        <v/>
      </c>
      <c r="I698" s="16" t="str">
        <f aca="false">IF(B698="","",F698-G698-H698)</f>
        <v/>
      </c>
    </row>
    <row r="699" customFormat="false" ht="15" hidden="false" customHeight="false" outlineLevel="0" collapsed="false">
      <c r="A699" s="34"/>
      <c r="B699" s="30"/>
      <c r="C699" s="30"/>
      <c r="D699" s="30"/>
      <c r="E699" s="16" t="str">
        <f aca="false">IF(B699="","",IFERROR(INDEX(Produtos!$C$5:$C$44,MATCH(B699,Produtos!$A$5:$A$44,0)),0))</f>
        <v/>
      </c>
      <c r="F699" s="16" t="str">
        <f aca="false">IF(B699="","",C699*E699)</f>
        <v/>
      </c>
      <c r="G699" s="16" t="str">
        <f aca="false">IF(B699="","",C699*IFERROR(INDEX(Produtos!$D$5:$D$44,MATCH(B699,Produtos!$A$5:$A$44,0)),0))</f>
        <v/>
      </c>
      <c r="H699" s="16" t="str">
        <f aca="false">IF(B699="","",F699*IFERROR(INDEX(Despesas!$B$5:$B$8,MATCH(D699,Despesas!$A$5:$A$8,0)),0))</f>
        <v/>
      </c>
      <c r="I699" s="16" t="str">
        <f aca="false">IF(B699="","",F699-G699-H699)</f>
        <v/>
      </c>
    </row>
    <row r="700" customFormat="false" ht="15" hidden="false" customHeight="false" outlineLevel="0" collapsed="false">
      <c r="A700" s="34"/>
      <c r="B700" s="30"/>
      <c r="C700" s="30"/>
      <c r="D700" s="30"/>
      <c r="E700" s="16" t="str">
        <f aca="false">IF(B700="","",IFERROR(INDEX(Produtos!$C$5:$C$44,MATCH(B700,Produtos!$A$5:$A$44,0)),0))</f>
        <v/>
      </c>
      <c r="F700" s="16" t="str">
        <f aca="false">IF(B700="","",C700*E700)</f>
        <v/>
      </c>
      <c r="G700" s="16" t="str">
        <f aca="false">IF(B700="","",C700*IFERROR(INDEX(Produtos!$D$5:$D$44,MATCH(B700,Produtos!$A$5:$A$44,0)),0))</f>
        <v/>
      </c>
      <c r="H700" s="16" t="str">
        <f aca="false">IF(B700="","",F700*IFERROR(INDEX(Despesas!$B$5:$B$8,MATCH(D700,Despesas!$A$5:$A$8,0)),0))</f>
        <v/>
      </c>
      <c r="I700" s="16" t="str">
        <f aca="false">IF(B700="","",F700-G700-H700)</f>
        <v/>
      </c>
    </row>
    <row r="701" customFormat="false" ht="15" hidden="false" customHeight="false" outlineLevel="0" collapsed="false">
      <c r="A701" s="34"/>
      <c r="B701" s="30"/>
      <c r="C701" s="30"/>
      <c r="D701" s="30"/>
      <c r="E701" s="16" t="str">
        <f aca="false">IF(B701="","",IFERROR(INDEX(Produtos!$C$5:$C$44,MATCH(B701,Produtos!$A$5:$A$44,0)),0))</f>
        <v/>
      </c>
      <c r="F701" s="16" t="str">
        <f aca="false">IF(B701="","",C701*E701)</f>
        <v/>
      </c>
      <c r="G701" s="16" t="str">
        <f aca="false">IF(B701="","",C701*IFERROR(INDEX(Produtos!$D$5:$D$44,MATCH(B701,Produtos!$A$5:$A$44,0)),0))</f>
        <v/>
      </c>
      <c r="H701" s="16" t="str">
        <f aca="false">IF(B701="","",F701*IFERROR(INDEX(Despesas!$B$5:$B$8,MATCH(D701,Despesas!$A$5:$A$8,0)),0))</f>
        <v/>
      </c>
      <c r="I701" s="16" t="str">
        <f aca="false">IF(B701="","",F701-G701-H701)</f>
        <v/>
      </c>
    </row>
    <row r="702" customFormat="false" ht="15" hidden="false" customHeight="false" outlineLevel="0" collapsed="false">
      <c r="A702" s="34"/>
      <c r="B702" s="30"/>
      <c r="C702" s="30"/>
      <c r="D702" s="30"/>
      <c r="E702" s="16" t="str">
        <f aca="false">IF(B702="","",IFERROR(INDEX(Produtos!$C$5:$C$44,MATCH(B702,Produtos!$A$5:$A$44,0)),0))</f>
        <v/>
      </c>
      <c r="F702" s="16" t="str">
        <f aca="false">IF(B702="","",C702*E702)</f>
        <v/>
      </c>
      <c r="G702" s="16" t="str">
        <f aca="false">IF(B702="","",C702*IFERROR(INDEX(Produtos!$D$5:$D$44,MATCH(B702,Produtos!$A$5:$A$44,0)),0))</f>
        <v/>
      </c>
      <c r="H702" s="16" t="str">
        <f aca="false">IF(B702="","",F702*IFERROR(INDEX(Despesas!$B$5:$B$8,MATCH(D702,Despesas!$A$5:$A$8,0)),0))</f>
        <v/>
      </c>
      <c r="I702" s="16" t="str">
        <f aca="false">IF(B702="","",F702-G702-H702)</f>
        <v/>
      </c>
    </row>
    <row r="703" customFormat="false" ht="15" hidden="false" customHeight="false" outlineLevel="0" collapsed="false">
      <c r="A703" s="34"/>
      <c r="B703" s="30"/>
      <c r="C703" s="30"/>
      <c r="D703" s="30"/>
      <c r="E703" s="16" t="str">
        <f aca="false">IF(B703="","",IFERROR(INDEX(Produtos!$C$5:$C$44,MATCH(B703,Produtos!$A$5:$A$44,0)),0))</f>
        <v/>
      </c>
      <c r="F703" s="16" t="str">
        <f aca="false">IF(B703="","",C703*E703)</f>
        <v/>
      </c>
      <c r="G703" s="16" t="str">
        <f aca="false">IF(B703="","",C703*IFERROR(INDEX(Produtos!$D$5:$D$44,MATCH(B703,Produtos!$A$5:$A$44,0)),0))</f>
        <v/>
      </c>
      <c r="H703" s="16" t="str">
        <f aca="false">IF(B703="","",F703*IFERROR(INDEX(Despesas!$B$5:$B$8,MATCH(D703,Despesas!$A$5:$A$8,0)),0))</f>
        <v/>
      </c>
      <c r="I703" s="16" t="str">
        <f aca="false">IF(B703="","",F703-G703-H703)</f>
        <v/>
      </c>
    </row>
    <row r="704" customFormat="false" ht="15" hidden="false" customHeight="false" outlineLevel="0" collapsed="false">
      <c r="A704" s="34"/>
      <c r="B704" s="30"/>
      <c r="C704" s="30"/>
      <c r="D704" s="30"/>
      <c r="E704" s="16" t="str">
        <f aca="false">IF(B704="","",IFERROR(INDEX(Produtos!$C$5:$C$44,MATCH(B704,Produtos!$A$5:$A$44,0)),0))</f>
        <v/>
      </c>
      <c r="F704" s="16" t="str">
        <f aca="false">IF(B704="","",C704*E704)</f>
        <v/>
      </c>
      <c r="G704" s="16" t="str">
        <f aca="false">IF(B704="","",C704*IFERROR(INDEX(Produtos!$D$5:$D$44,MATCH(B704,Produtos!$A$5:$A$44,0)),0))</f>
        <v/>
      </c>
      <c r="H704" s="16" t="str">
        <f aca="false">IF(B704="","",F704*IFERROR(INDEX(Despesas!$B$5:$B$8,MATCH(D704,Despesas!$A$5:$A$8,0)),0))</f>
        <v/>
      </c>
      <c r="I704" s="16" t="str">
        <f aca="false">IF(B704="","",F704-G704-H704)</f>
        <v/>
      </c>
    </row>
    <row r="705" customFormat="false" ht="15" hidden="false" customHeight="false" outlineLevel="0" collapsed="false">
      <c r="A705" s="34"/>
      <c r="B705" s="30"/>
      <c r="C705" s="30"/>
      <c r="D705" s="30"/>
      <c r="E705" s="16" t="str">
        <f aca="false">IF(B705="","",IFERROR(INDEX(Produtos!$C$5:$C$44,MATCH(B705,Produtos!$A$5:$A$44,0)),0))</f>
        <v/>
      </c>
      <c r="F705" s="16" t="str">
        <f aca="false">IF(B705="","",C705*E705)</f>
        <v/>
      </c>
      <c r="G705" s="16" t="str">
        <f aca="false">IF(B705="","",C705*IFERROR(INDEX(Produtos!$D$5:$D$44,MATCH(B705,Produtos!$A$5:$A$44,0)),0))</f>
        <v/>
      </c>
      <c r="H705" s="16" t="str">
        <f aca="false">IF(B705="","",F705*IFERROR(INDEX(Despesas!$B$5:$B$8,MATCH(D705,Despesas!$A$5:$A$8,0)),0))</f>
        <v/>
      </c>
      <c r="I705" s="16" t="str">
        <f aca="false">IF(B705="","",F705-G705-H705)</f>
        <v/>
      </c>
    </row>
    <row r="706" customFormat="false" ht="15" hidden="false" customHeight="false" outlineLevel="0" collapsed="false">
      <c r="A706" s="34"/>
      <c r="B706" s="30"/>
      <c r="C706" s="30"/>
      <c r="D706" s="30"/>
      <c r="E706" s="16" t="str">
        <f aca="false">IF(B706="","",IFERROR(INDEX(Produtos!$C$5:$C$44,MATCH(B706,Produtos!$A$5:$A$44,0)),0))</f>
        <v/>
      </c>
      <c r="F706" s="16" t="str">
        <f aca="false">IF(B706="","",C706*E706)</f>
        <v/>
      </c>
      <c r="G706" s="16" t="str">
        <f aca="false">IF(B706="","",C706*IFERROR(INDEX(Produtos!$D$5:$D$44,MATCH(B706,Produtos!$A$5:$A$44,0)),0))</f>
        <v/>
      </c>
      <c r="H706" s="16" t="str">
        <f aca="false">IF(B706="","",F706*IFERROR(INDEX(Despesas!$B$5:$B$8,MATCH(D706,Despesas!$A$5:$A$8,0)),0))</f>
        <v/>
      </c>
      <c r="I706" s="16" t="str">
        <f aca="false">IF(B706="","",F706-G706-H706)</f>
        <v/>
      </c>
    </row>
    <row r="707" customFormat="false" ht="15" hidden="false" customHeight="false" outlineLevel="0" collapsed="false">
      <c r="A707" s="34"/>
      <c r="B707" s="30"/>
      <c r="C707" s="30"/>
      <c r="D707" s="30"/>
      <c r="E707" s="16" t="str">
        <f aca="false">IF(B707="","",IFERROR(INDEX(Produtos!$C$5:$C$44,MATCH(B707,Produtos!$A$5:$A$44,0)),0))</f>
        <v/>
      </c>
      <c r="F707" s="16" t="str">
        <f aca="false">IF(B707="","",C707*E707)</f>
        <v/>
      </c>
      <c r="G707" s="16" t="str">
        <f aca="false">IF(B707="","",C707*IFERROR(INDEX(Produtos!$D$5:$D$44,MATCH(B707,Produtos!$A$5:$A$44,0)),0))</f>
        <v/>
      </c>
      <c r="H707" s="16" t="str">
        <f aca="false">IF(B707="","",F707*IFERROR(INDEX(Despesas!$B$5:$B$8,MATCH(D707,Despesas!$A$5:$A$8,0)),0))</f>
        <v/>
      </c>
      <c r="I707" s="16" t="str">
        <f aca="false">IF(B707="","",F707-G707-H707)</f>
        <v/>
      </c>
    </row>
    <row r="708" customFormat="false" ht="15" hidden="false" customHeight="false" outlineLevel="0" collapsed="false">
      <c r="A708" s="34"/>
      <c r="B708" s="30"/>
      <c r="C708" s="30"/>
      <c r="D708" s="30"/>
      <c r="E708" s="16" t="str">
        <f aca="false">IF(B708="","",IFERROR(INDEX(Produtos!$C$5:$C$44,MATCH(B708,Produtos!$A$5:$A$44,0)),0))</f>
        <v/>
      </c>
      <c r="F708" s="16" t="str">
        <f aca="false">IF(B708="","",C708*E708)</f>
        <v/>
      </c>
      <c r="G708" s="16" t="str">
        <f aca="false">IF(B708="","",C708*IFERROR(INDEX(Produtos!$D$5:$D$44,MATCH(B708,Produtos!$A$5:$A$44,0)),0))</f>
        <v/>
      </c>
      <c r="H708" s="16" t="str">
        <f aca="false">IF(B708="","",F708*IFERROR(INDEX(Despesas!$B$5:$B$8,MATCH(D708,Despesas!$A$5:$A$8,0)),0))</f>
        <v/>
      </c>
      <c r="I708" s="16" t="str">
        <f aca="false">IF(B708="","",F708-G708-H708)</f>
        <v/>
      </c>
    </row>
    <row r="709" customFormat="false" ht="15" hidden="false" customHeight="false" outlineLevel="0" collapsed="false">
      <c r="A709" s="34"/>
      <c r="B709" s="30"/>
      <c r="C709" s="30"/>
      <c r="D709" s="30"/>
      <c r="E709" s="16" t="str">
        <f aca="false">IF(B709="","",IFERROR(INDEX(Produtos!$C$5:$C$44,MATCH(B709,Produtos!$A$5:$A$44,0)),0))</f>
        <v/>
      </c>
      <c r="F709" s="16" t="str">
        <f aca="false">IF(B709="","",C709*E709)</f>
        <v/>
      </c>
      <c r="G709" s="16" t="str">
        <f aca="false">IF(B709="","",C709*IFERROR(INDEX(Produtos!$D$5:$D$44,MATCH(B709,Produtos!$A$5:$A$44,0)),0))</f>
        <v/>
      </c>
      <c r="H709" s="16" t="str">
        <f aca="false">IF(B709="","",F709*IFERROR(INDEX(Despesas!$B$5:$B$8,MATCH(D709,Despesas!$A$5:$A$8,0)),0))</f>
        <v/>
      </c>
      <c r="I709" s="16" t="str">
        <f aca="false">IF(B709="","",F709-G709-H709)</f>
        <v/>
      </c>
    </row>
    <row r="710" customFormat="false" ht="15" hidden="false" customHeight="false" outlineLevel="0" collapsed="false">
      <c r="A710" s="34"/>
      <c r="B710" s="30"/>
      <c r="C710" s="30"/>
      <c r="D710" s="30"/>
      <c r="E710" s="16" t="str">
        <f aca="false">IF(B710="","",IFERROR(INDEX(Produtos!$C$5:$C$44,MATCH(B710,Produtos!$A$5:$A$44,0)),0))</f>
        <v/>
      </c>
      <c r="F710" s="16" t="str">
        <f aca="false">IF(B710="","",C710*E710)</f>
        <v/>
      </c>
      <c r="G710" s="16" t="str">
        <f aca="false">IF(B710="","",C710*IFERROR(INDEX(Produtos!$D$5:$D$44,MATCH(B710,Produtos!$A$5:$A$44,0)),0))</f>
        <v/>
      </c>
      <c r="H710" s="16" t="str">
        <f aca="false">IF(B710="","",F710*IFERROR(INDEX(Despesas!$B$5:$B$8,MATCH(D710,Despesas!$A$5:$A$8,0)),0))</f>
        <v/>
      </c>
      <c r="I710" s="16" t="str">
        <f aca="false">IF(B710="","",F710-G710-H710)</f>
        <v/>
      </c>
    </row>
    <row r="711" customFormat="false" ht="15" hidden="false" customHeight="false" outlineLevel="0" collapsed="false">
      <c r="A711" s="34"/>
      <c r="B711" s="30"/>
      <c r="C711" s="30"/>
      <c r="D711" s="30"/>
      <c r="E711" s="16" t="str">
        <f aca="false">IF(B711="","",IFERROR(INDEX(Produtos!$C$5:$C$44,MATCH(B711,Produtos!$A$5:$A$44,0)),0))</f>
        <v/>
      </c>
      <c r="F711" s="16" t="str">
        <f aca="false">IF(B711="","",C711*E711)</f>
        <v/>
      </c>
      <c r="G711" s="16" t="str">
        <f aca="false">IF(B711="","",C711*IFERROR(INDEX(Produtos!$D$5:$D$44,MATCH(B711,Produtos!$A$5:$A$44,0)),0))</f>
        <v/>
      </c>
      <c r="H711" s="16" t="str">
        <f aca="false">IF(B711="","",F711*IFERROR(INDEX(Despesas!$B$5:$B$8,MATCH(D711,Despesas!$A$5:$A$8,0)),0))</f>
        <v/>
      </c>
      <c r="I711" s="16" t="str">
        <f aca="false">IF(B711="","",F711-G711-H711)</f>
        <v/>
      </c>
    </row>
    <row r="712" customFormat="false" ht="15" hidden="false" customHeight="false" outlineLevel="0" collapsed="false">
      <c r="A712" s="34"/>
      <c r="B712" s="30"/>
      <c r="C712" s="30"/>
      <c r="D712" s="30"/>
      <c r="E712" s="16" t="str">
        <f aca="false">IF(B712="","",IFERROR(INDEX(Produtos!$C$5:$C$44,MATCH(B712,Produtos!$A$5:$A$44,0)),0))</f>
        <v/>
      </c>
      <c r="F712" s="16" t="str">
        <f aca="false">IF(B712="","",C712*E712)</f>
        <v/>
      </c>
      <c r="G712" s="16" t="str">
        <f aca="false">IF(B712="","",C712*IFERROR(INDEX(Produtos!$D$5:$D$44,MATCH(B712,Produtos!$A$5:$A$44,0)),0))</f>
        <v/>
      </c>
      <c r="H712" s="16" t="str">
        <f aca="false">IF(B712="","",F712*IFERROR(INDEX(Despesas!$B$5:$B$8,MATCH(D712,Despesas!$A$5:$A$8,0)),0))</f>
        <v/>
      </c>
      <c r="I712" s="16" t="str">
        <f aca="false">IF(B712="","",F712-G712-H712)</f>
        <v/>
      </c>
    </row>
    <row r="713" customFormat="false" ht="15" hidden="false" customHeight="false" outlineLevel="0" collapsed="false">
      <c r="A713" s="34"/>
      <c r="B713" s="30"/>
      <c r="C713" s="30"/>
      <c r="D713" s="30"/>
      <c r="E713" s="16" t="str">
        <f aca="false">IF(B713="","",IFERROR(INDEX(Produtos!$C$5:$C$44,MATCH(B713,Produtos!$A$5:$A$44,0)),0))</f>
        <v/>
      </c>
      <c r="F713" s="16" t="str">
        <f aca="false">IF(B713="","",C713*E713)</f>
        <v/>
      </c>
      <c r="G713" s="16" t="str">
        <f aca="false">IF(B713="","",C713*IFERROR(INDEX(Produtos!$D$5:$D$44,MATCH(B713,Produtos!$A$5:$A$44,0)),0))</f>
        <v/>
      </c>
      <c r="H713" s="16" t="str">
        <f aca="false">IF(B713="","",F713*IFERROR(INDEX(Despesas!$B$5:$B$8,MATCH(D713,Despesas!$A$5:$A$8,0)),0))</f>
        <v/>
      </c>
      <c r="I713" s="16" t="str">
        <f aca="false">IF(B713="","",F713-G713-H713)</f>
        <v/>
      </c>
    </row>
    <row r="714" customFormat="false" ht="15" hidden="false" customHeight="false" outlineLevel="0" collapsed="false">
      <c r="A714" s="34"/>
      <c r="B714" s="30"/>
      <c r="C714" s="30"/>
      <c r="D714" s="30"/>
      <c r="E714" s="16" t="str">
        <f aca="false">IF(B714="","",IFERROR(INDEX(Produtos!$C$5:$C$44,MATCH(B714,Produtos!$A$5:$A$44,0)),0))</f>
        <v/>
      </c>
      <c r="F714" s="16" t="str">
        <f aca="false">IF(B714="","",C714*E714)</f>
        <v/>
      </c>
      <c r="G714" s="16" t="str">
        <f aca="false">IF(B714="","",C714*IFERROR(INDEX(Produtos!$D$5:$D$44,MATCH(B714,Produtos!$A$5:$A$44,0)),0))</f>
        <v/>
      </c>
      <c r="H714" s="16" t="str">
        <f aca="false">IF(B714="","",F714*IFERROR(INDEX(Despesas!$B$5:$B$8,MATCH(D714,Despesas!$A$5:$A$8,0)),0))</f>
        <v/>
      </c>
      <c r="I714" s="16" t="str">
        <f aca="false">IF(B714="","",F714-G714-H714)</f>
        <v/>
      </c>
    </row>
    <row r="715" customFormat="false" ht="15" hidden="false" customHeight="false" outlineLevel="0" collapsed="false">
      <c r="A715" s="34"/>
      <c r="B715" s="30"/>
      <c r="C715" s="30"/>
      <c r="D715" s="30"/>
      <c r="E715" s="16" t="str">
        <f aca="false">IF(B715="","",IFERROR(INDEX(Produtos!$C$5:$C$44,MATCH(B715,Produtos!$A$5:$A$44,0)),0))</f>
        <v/>
      </c>
      <c r="F715" s="16" t="str">
        <f aca="false">IF(B715="","",C715*E715)</f>
        <v/>
      </c>
      <c r="G715" s="16" t="str">
        <f aca="false">IF(B715="","",C715*IFERROR(INDEX(Produtos!$D$5:$D$44,MATCH(B715,Produtos!$A$5:$A$44,0)),0))</f>
        <v/>
      </c>
      <c r="H715" s="16" t="str">
        <f aca="false">IF(B715="","",F715*IFERROR(INDEX(Despesas!$B$5:$B$8,MATCH(D715,Despesas!$A$5:$A$8,0)),0))</f>
        <v/>
      </c>
      <c r="I715" s="16" t="str">
        <f aca="false">IF(B715="","",F715-G715-H715)</f>
        <v/>
      </c>
    </row>
    <row r="716" customFormat="false" ht="15" hidden="false" customHeight="false" outlineLevel="0" collapsed="false">
      <c r="A716" s="34"/>
      <c r="B716" s="30"/>
      <c r="C716" s="30"/>
      <c r="D716" s="30"/>
      <c r="E716" s="16" t="str">
        <f aca="false">IF(B716="","",IFERROR(INDEX(Produtos!$C$5:$C$44,MATCH(B716,Produtos!$A$5:$A$44,0)),0))</f>
        <v/>
      </c>
      <c r="F716" s="16" t="str">
        <f aca="false">IF(B716="","",C716*E716)</f>
        <v/>
      </c>
      <c r="G716" s="16" t="str">
        <f aca="false">IF(B716="","",C716*IFERROR(INDEX(Produtos!$D$5:$D$44,MATCH(B716,Produtos!$A$5:$A$44,0)),0))</f>
        <v/>
      </c>
      <c r="H716" s="16" t="str">
        <f aca="false">IF(B716="","",F716*IFERROR(INDEX(Despesas!$B$5:$B$8,MATCH(D716,Despesas!$A$5:$A$8,0)),0))</f>
        <v/>
      </c>
      <c r="I716" s="16" t="str">
        <f aca="false">IF(B716="","",F716-G716-H716)</f>
        <v/>
      </c>
    </row>
    <row r="717" customFormat="false" ht="15" hidden="false" customHeight="false" outlineLevel="0" collapsed="false">
      <c r="A717" s="34"/>
      <c r="B717" s="30"/>
      <c r="C717" s="30"/>
      <c r="D717" s="30"/>
      <c r="E717" s="16" t="str">
        <f aca="false">IF(B717="","",IFERROR(INDEX(Produtos!$C$5:$C$44,MATCH(B717,Produtos!$A$5:$A$44,0)),0))</f>
        <v/>
      </c>
      <c r="F717" s="16" t="str">
        <f aca="false">IF(B717="","",C717*E717)</f>
        <v/>
      </c>
      <c r="G717" s="16" t="str">
        <f aca="false">IF(B717="","",C717*IFERROR(INDEX(Produtos!$D$5:$D$44,MATCH(B717,Produtos!$A$5:$A$44,0)),0))</f>
        <v/>
      </c>
      <c r="H717" s="16" t="str">
        <f aca="false">IF(B717="","",F717*IFERROR(INDEX(Despesas!$B$5:$B$8,MATCH(D717,Despesas!$A$5:$A$8,0)),0))</f>
        <v/>
      </c>
      <c r="I717" s="16" t="str">
        <f aca="false">IF(B717="","",F717-G717-H717)</f>
        <v/>
      </c>
    </row>
    <row r="718" customFormat="false" ht="15" hidden="false" customHeight="false" outlineLevel="0" collapsed="false">
      <c r="A718" s="34"/>
      <c r="B718" s="30"/>
      <c r="C718" s="30"/>
      <c r="D718" s="30"/>
      <c r="E718" s="16" t="str">
        <f aca="false">IF(B718="","",IFERROR(INDEX(Produtos!$C$5:$C$44,MATCH(B718,Produtos!$A$5:$A$44,0)),0))</f>
        <v/>
      </c>
      <c r="F718" s="16" t="str">
        <f aca="false">IF(B718="","",C718*E718)</f>
        <v/>
      </c>
      <c r="G718" s="16" t="str">
        <f aca="false">IF(B718="","",C718*IFERROR(INDEX(Produtos!$D$5:$D$44,MATCH(B718,Produtos!$A$5:$A$44,0)),0))</f>
        <v/>
      </c>
      <c r="H718" s="16" t="str">
        <f aca="false">IF(B718="","",F718*IFERROR(INDEX(Despesas!$B$5:$B$8,MATCH(D718,Despesas!$A$5:$A$8,0)),0))</f>
        <v/>
      </c>
      <c r="I718" s="16" t="str">
        <f aca="false">IF(B718="","",F718-G718-H718)</f>
        <v/>
      </c>
    </row>
    <row r="719" customFormat="false" ht="15" hidden="false" customHeight="false" outlineLevel="0" collapsed="false">
      <c r="A719" s="34"/>
      <c r="B719" s="30"/>
      <c r="C719" s="30"/>
      <c r="D719" s="30"/>
      <c r="E719" s="16" t="str">
        <f aca="false">IF(B719="","",IFERROR(INDEX(Produtos!$C$5:$C$44,MATCH(B719,Produtos!$A$5:$A$44,0)),0))</f>
        <v/>
      </c>
      <c r="F719" s="16" t="str">
        <f aca="false">IF(B719="","",C719*E719)</f>
        <v/>
      </c>
      <c r="G719" s="16" t="str">
        <f aca="false">IF(B719="","",C719*IFERROR(INDEX(Produtos!$D$5:$D$44,MATCH(B719,Produtos!$A$5:$A$44,0)),0))</f>
        <v/>
      </c>
      <c r="H719" s="16" t="str">
        <f aca="false">IF(B719="","",F719*IFERROR(INDEX(Despesas!$B$5:$B$8,MATCH(D719,Despesas!$A$5:$A$8,0)),0))</f>
        <v/>
      </c>
      <c r="I719" s="16" t="str">
        <f aca="false">IF(B719="","",F719-G719-H719)</f>
        <v/>
      </c>
    </row>
    <row r="720" customFormat="false" ht="15" hidden="false" customHeight="false" outlineLevel="0" collapsed="false">
      <c r="A720" s="34"/>
      <c r="B720" s="30"/>
      <c r="C720" s="30"/>
      <c r="D720" s="30"/>
      <c r="E720" s="16" t="str">
        <f aca="false">IF(B720="","",IFERROR(INDEX(Produtos!$C$5:$C$44,MATCH(B720,Produtos!$A$5:$A$44,0)),0))</f>
        <v/>
      </c>
      <c r="F720" s="16" t="str">
        <f aca="false">IF(B720="","",C720*E720)</f>
        <v/>
      </c>
      <c r="G720" s="16" t="str">
        <f aca="false">IF(B720="","",C720*IFERROR(INDEX(Produtos!$D$5:$D$44,MATCH(B720,Produtos!$A$5:$A$44,0)),0))</f>
        <v/>
      </c>
      <c r="H720" s="16" t="str">
        <f aca="false">IF(B720="","",F720*IFERROR(INDEX(Despesas!$B$5:$B$8,MATCH(D720,Despesas!$A$5:$A$8,0)),0))</f>
        <v/>
      </c>
      <c r="I720" s="16" t="str">
        <f aca="false">IF(B720="","",F720-G720-H720)</f>
        <v/>
      </c>
    </row>
    <row r="721" customFormat="false" ht="15" hidden="false" customHeight="false" outlineLevel="0" collapsed="false">
      <c r="A721" s="34"/>
      <c r="B721" s="30"/>
      <c r="C721" s="30"/>
      <c r="D721" s="30"/>
      <c r="E721" s="16" t="str">
        <f aca="false">IF(B721="","",IFERROR(INDEX(Produtos!$C$5:$C$44,MATCH(B721,Produtos!$A$5:$A$44,0)),0))</f>
        <v/>
      </c>
      <c r="F721" s="16" t="str">
        <f aca="false">IF(B721="","",C721*E721)</f>
        <v/>
      </c>
      <c r="G721" s="16" t="str">
        <f aca="false">IF(B721="","",C721*IFERROR(INDEX(Produtos!$D$5:$D$44,MATCH(B721,Produtos!$A$5:$A$44,0)),0))</f>
        <v/>
      </c>
      <c r="H721" s="16" t="str">
        <f aca="false">IF(B721="","",F721*IFERROR(INDEX(Despesas!$B$5:$B$8,MATCH(D721,Despesas!$A$5:$A$8,0)),0))</f>
        <v/>
      </c>
      <c r="I721" s="16" t="str">
        <f aca="false">IF(B721="","",F721-G721-H721)</f>
        <v/>
      </c>
    </row>
    <row r="722" customFormat="false" ht="15" hidden="false" customHeight="false" outlineLevel="0" collapsed="false">
      <c r="A722" s="34"/>
      <c r="B722" s="30"/>
      <c r="C722" s="30"/>
      <c r="D722" s="30"/>
      <c r="E722" s="16" t="str">
        <f aca="false">IF(B722="","",IFERROR(INDEX(Produtos!$C$5:$C$44,MATCH(B722,Produtos!$A$5:$A$44,0)),0))</f>
        <v/>
      </c>
      <c r="F722" s="16" t="str">
        <f aca="false">IF(B722="","",C722*E722)</f>
        <v/>
      </c>
      <c r="G722" s="16" t="str">
        <f aca="false">IF(B722="","",C722*IFERROR(INDEX(Produtos!$D$5:$D$44,MATCH(B722,Produtos!$A$5:$A$44,0)),0))</f>
        <v/>
      </c>
      <c r="H722" s="16" t="str">
        <f aca="false">IF(B722="","",F722*IFERROR(INDEX(Despesas!$B$5:$B$8,MATCH(D722,Despesas!$A$5:$A$8,0)),0))</f>
        <v/>
      </c>
      <c r="I722" s="16" t="str">
        <f aca="false">IF(B722="","",F722-G722-H722)</f>
        <v/>
      </c>
    </row>
    <row r="723" customFormat="false" ht="15" hidden="false" customHeight="false" outlineLevel="0" collapsed="false">
      <c r="A723" s="34"/>
      <c r="B723" s="30"/>
      <c r="C723" s="30"/>
      <c r="D723" s="30"/>
      <c r="E723" s="16" t="str">
        <f aca="false">IF(B723="","",IFERROR(INDEX(Produtos!$C$5:$C$44,MATCH(B723,Produtos!$A$5:$A$44,0)),0))</f>
        <v/>
      </c>
      <c r="F723" s="16" t="str">
        <f aca="false">IF(B723="","",C723*E723)</f>
        <v/>
      </c>
      <c r="G723" s="16" t="str">
        <f aca="false">IF(B723="","",C723*IFERROR(INDEX(Produtos!$D$5:$D$44,MATCH(B723,Produtos!$A$5:$A$44,0)),0))</f>
        <v/>
      </c>
      <c r="H723" s="16" t="str">
        <f aca="false">IF(B723="","",F723*IFERROR(INDEX(Despesas!$B$5:$B$8,MATCH(D723,Despesas!$A$5:$A$8,0)),0))</f>
        <v/>
      </c>
      <c r="I723" s="16" t="str">
        <f aca="false">IF(B723="","",F723-G723-H723)</f>
        <v/>
      </c>
    </row>
    <row r="724" customFormat="false" ht="15" hidden="false" customHeight="false" outlineLevel="0" collapsed="false">
      <c r="A724" s="34"/>
      <c r="B724" s="30"/>
      <c r="C724" s="30"/>
      <c r="D724" s="30"/>
      <c r="E724" s="16" t="str">
        <f aca="false">IF(B724="","",IFERROR(INDEX(Produtos!$C$5:$C$44,MATCH(B724,Produtos!$A$5:$A$44,0)),0))</f>
        <v/>
      </c>
      <c r="F724" s="16" t="str">
        <f aca="false">IF(B724="","",C724*E724)</f>
        <v/>
      </c>
      <c r="G724" s="16" t="str">
        <f aca="false">IF(B724="","",C724*IFERROR(INDEX(Produtos!$D$5:$D$44,MATCH(B724,Produtos!$A$5:$A$44,0)),0))</f>
        <v/>
      </c>
      <c r="H724" s="16" t="str">
        <f aca="false">IF(B724="","",F724*IFERROR(INDEX(Despesas!$B$5:$B$8,MATCH(D724,Despesas!$A$5:$A$8,0)),0))</f>
        <v/>
      </c>
      <c r="I724" s="16" t="str">
        <f aca="false">IF(B724="","",F724-G724-H724)</f>
        <v/>
      </c>
    </row>
    <row r="725" customFormat="false" ht="15" hidden="false" customHeight="false" outlineLevel="0" collapsed="false">
      <c r="A725" s="34"/>
      <c r="B725" s="30"/>
      <c r="C725" s="30"/>
      <c r="D725" s="30"/>
      <c r="E725" s="16" t="str">
        <f aca="false">IF(B725="","",IFERROR(INDEX(Produtos!$C$5:$C$44,MATCH(B725,Produtos!$A$5:$A$44,0)),0))</f>
        <v/>
      </c>
      <c r="F725" s="16" t="str">
        <f aca="false">IF(B725="","",C725*E725)</f>
        <v/>
      </c>
      <c r="G725" s="16" t="str">
        <f aca="false">IF(B725="","",C725*IFERROR(INDEX(Produtos!$D$5:$D$44,MATCH(B725,Produtos!$A$5:$A$44,0)),0))</f>
        <v/>
      </c>
      <c r="H725" s="16" t="str">
        <f aca="false">IF(B725="","",F725*IFERROR(INDEX(Despesas!$B$5:$B$8,MATCH(D725,Despesas!$A$5:$A$8,0)),0))</f>
        <v/>
      </c>
      <c r="I725" s="16" t="str">
        <f aca="false">IF(B725="","",F725-G725-H725)</f>
        <v/>
      </c>
    </row>
    <row r="726" customFormat="false" ht="15" hidden="false" customHeight="false" outlineLevel="0" collapsed="false">
      <c r="A726" s="34"/>
      <c r="B726" s="30"/>
      <c r="C726" s="30"/>
      <c r="D726" s="30"/>
      <c r="E726" s="16" t="str">
        <f aca="false">IF(B726="","",IFERROR(INDEX(Produtos!$C$5:$C$44,MATCH(B726,Produtos!$A$5:$A$44,0)),0))</f>
        <v/>
      </c>
      <c r="F726" s="16" t="str">
        <f aca="false">IF(B726="","",C726*E726)</f>
        <v/>
      </c>
      <c r="G726" s="16" t="str">
        <f aca="false">IF(B726="","",C726*IFERROR(INDEX(Produtos!$D$5:$D$44,MATCH(B726,Produtos!$A$5:$A$44,0)),0))</f>
        <v/>
      </c>
      <c r="H726" s="16" t="str">
        <f aca="false">IF(B726="","",F726*IFERROR(INDEX(Despesas!$B$5:$B$8,MATCH(D726,Despesas!$A$5:$A$8,0)),0))</f>
        <v/>
      </c>
      <c r="I726" s="16" t="str">
        <f aca="false">IF(B726="","",F726-G726-H726)</f>
        <v/>
      </c>
    </row>
    <row r="727" customFormat="false" ht="15" hidden="false" customHeight="false" outlineLevel="0" collapsed="false">
      <c r="A727" s="34"/>
      <c r="B727" s="30"/>
      <c r="C727" s="30"/>
      <c r="D727" s="30"/>
      <c r="E727" s="16" t="str">
        <f aca="false">IF(B727="","",IFERROR(INDEX(Produtos!$C$5:$C$44,MATCH(B727,Produtos!$A$5:$A$44,0)),0))</f>
        <v/>
      </c>
      <c r="F727" s="16" t="str">
        <f aca="false">IF(B727="","",C727*E727)</f>
        <v/>
      </c>
      <c r="G727" s="16" t="str">
        <f aca="false">IF(B727="","",C727*IFERROR(INDEX(Produtos!$D$5:$D$44,MATCH(B727,Produtos!$A$5:$A$44,0)),0))</f>
        <v/>
      </c>
      <c r="H727" s="16" t="str">
        <f aca="false">IF(B727="","",F727*IFERROR(INDEX(Despesas!$B$5:$B$8,MATCH(D727,Despesas!$A$5:$A$8,0)),0))</f>
        <v/>
      </c>
      <c r="I727" s="16" t="str">
        <f aca="false">IF(B727="","",F727-G727-H727)</f>
        <v/>
      </c>
    </row>
    <row r="728" customFormat="false" ht="15" hidden="false" customHeight="false" outlineLevel="0" collapsed="false">
      <c r="A728" s="34"/>
      <c r="B728" s="30"/>
      <c r="C728" s="30"/>
      <c r="D728" s="30"/>
      <c r="E728" s="16" t="str">
        <f aca="false">IF(B728="","",IFERROR(INDEX(Produtos!$C$5:$C$44,MATCH(B728,Produtos!$A$5:$A$44,0)),0))</f>
        <v/>
      </c>
      <c r="F728" s="16" t="str">
        <f aca="false">IF(B728="","",C728*E728)</f>
        <v/>
      </c>
      <c r="G728" s="16" t="str">
        <f aca="false">IF(B728="","",C728*IFERROR(INDEX(Produtos!$D$5:$D$44,MATCH(B728,Produtos!$A$5:$A$44,0)),0))</f>
        <v/>
      </c>
      <c r="H728" s="16" t="str">
        <f aca="false">IF(B728="","",F728*IFERROR(INDEX(Despesas!$B$5:$B$8,MATCH(D728,Despesas!$A$5:$A$8,0)),0))</f>
        <v/>
      </c>
      <c r="I728" s="16" t="str">
        <f aca="false">IF(B728="","",F728-G728-H728)</f>
        <v/>
      </c>
    </row>
    <row r="729" customFormat="false" ht="15" hidden="false" customHeight="false" outlineLevel="0" collapsed="false">
      <c r="A729" s="34"/>
      <c r="B729" s="30"/>
      <c r="C729" s="30"/>
      <c r="D729" s="30"/>
      <c r="E729" s="16" t="str">
        <f aca="false">IF(B729="","",IFERROR(INDEX(Produtos!$C$5:$C$44,MATCH(B729,Produtos!$A$5:$A$44,0)),0))</f>
        <v/>
      </c>
      <c r="F729" s="16" t="str">
        <f aca="false">IF(B729="","",C729*E729)</f>
        <v/>
      </c>
      <c r="G729" s="16" t="str">
        <f aca="false">IF(B729="","",C729*IFERROR(INDEX(Produtos!$D$5:$D$44,MATCH(B729,Produtos!$A$5:$A$44,0)),0))</f>
        <v/>
      </c>
      <c r="H729" s="16" t="str">
        <f aca="false">IF(B729="","",F729*IFERROR(INDEX(Despesas!$B$5:$B$8,MATCH(D729,Despesas!$A$5:$A$8,0)),0))</f>
        <v/>
      </c>
      <c r="I729" s="16" t="str">
        <f aca="false">IF(B729="","",F729-G729-H729)</f>
        <v/>
      </c>
    </row>
    <row r="730" customFormat="false" ht="15" hidden="false" customHeight="false" outlineLevel="0" collapsed="false">
      <c r="A730" s="34"/>
      <c r="B730" s="30"/>
      <c r="C730" s="30"/>
      <c r="D730" s="30"/>
      <c r="E730" s="16" t="str">
        <f aca="false">IF(B730="","",IFERROR(INDEX(Produtos!$C$5:$C$44,MATCH(B730,Produtos!$A$5:$A$44,0)),0))</f>
        <v/>
      </c>
      <c r="F730" s="16" t="str">
        <f aca="false">IF(B730="","",C730*E730)</f>
        <v/>
      </c>
      <c r="G730" s="16" t="str">
        <f aca="false">IF(B730="","",C730*IFERROR(INDEX(Produtos!$D$5:$D$44,MATCH(B730,Produtos!$A$5:$A$44,0)),0))</f>
        <v/>
      </c>
      <c r="H730" s="16" t="str">
        <f aca="false">IF(B730="","",F730*IFERROR(INDEX(Despesas!$B$5:$B$8,MATCH(D730,Despesas!$A$5:$A$8,0)),0))</f>
        <v/>
      </c>
      <c r="I730" s="16" t="str">
        <f aca="false">IF(B730="","",F730-G730-H730)</f>
        <v/>
      </c>
    </row>
    <row r="731" customFormat="false" ht="15" hidden="false" customHeight="false" outlineLevel="0" collapsed="false">
      <c r="A731" s="34"/>
      <c r="B731" s="30"/>
      <c r="C731" s="30"/>
      <c r="D731" s="30"/>
      <c r="E731" s="16" t="str">
        <f aca="false">IF(B731="","",IFERROR(INDEX(Produtos!$C$5:$C$44,MATCH(B731,Produtos!$A$5:$A$44,0)),0))</f>
        <v/>
      </c>
      <c r="F731" s="16" t="str">
        <f aca="false">IF(B731="","",C731*E731)</f>
        <v/>
      </c>
      <c r="G731" s="16" t="str">
        <f aca="false">IF(B731="","",C731*IFERROR(INDEX(Produtos!$D$5:$D$44,MATCH(B731,Produtos!$A$5:$A$44,0)),0))</f>
        <v/>
      </c>
      <c r="H731" s="16" t="str">
        <f aca="false">IF(B731="","",F731*IFERROR(INDEX(Despesas!$B$5:$B$8,MATCH(D731,Despesas!$A$5:$A$8,0)),0))</f>
        <v/>
      </c>
      <c r="I731" s="16" t="str">
        <f aca="false">IF(B731="","",F731-G731-H731)</f>
        <v/>
      </c>
    </row>
    <row r="732" customFormat="false" ht="15" hidden="false" customHeight="false" outlineLevel="0" collapsed="false">
      <c r="A732" s="34"/>
      <c r="B732" s="30"/>
      <c r="C732" s="30"/>
      <c r="D732" s="30"/>
      <c r="E732" s="16" t="str">
        <f aca="false">IF(B732="","",IFERROR(INDEX(Produtos!$C$5:$C$44,MATCH(B732,Produtos!$A$5:$A$44,0)),0))</f>
        <v/>
      </c>
      <c r="F732" s="16" t="str">
        <f aca="false">IF(B732="","",C732*E732)</f>
        <v/>
      </c>
      <c r="G732" s="16" t="str">
        <f aca="false">IF(B732="","",C732*IFERROR(INDEX(Produtos!$D$5:$D$44,MATCH(B732,Produtos!$A$5:$A$44,0)),0))</f>
        <v/>
      </c>
      <c r="H732" s="16" t="str">
        <f aca="false">IF(B732="","",F732*IFERROR(INDEX(Despesas!$B$5:$B$8,MATCH(D732,Despesas!$A$5:$A$8,0)),0))</f>
        <v/>
      </c>
      <c r="I732" s="16" t="str">
        <f aca="false">IF(B732="","",F732-G732-H732)</f>
        <v/>
      </c>
    </row>
    <row r="733" customFormat="false" ht="15" hidden="false" customHeight="false" outlineLevel="0" collapsed="false">
      <c r="A733" s="34"/>
      <c r="B733" s="30"/>
      <c r="C733" s="30"/>
      <c r="D733" s="30"/>
      <c r="E733" s="16" t="str">
        <f aca="false">IF(B733="","",IFERROR(INDEX(Produtos!$C$5:$C$44,MATCH(B733,Produtos!$A$5:$A$44,0)),0))</f>
        <v/>
      </c>
      <c r="F733" s="16" t="str">
        <f aca="false">IF(B733="","",C733*E733)</f>
        <v/>
      </c>
      <c r="G733" s="16" t="str">
        <f aca="false">IF(B733="","",C733*IFERROR(INDEX(Produtos!$D$5:$D$44,MATCH(B733,Produtos!$A$5:$A$44,0)),0))</f>
        <v/>
      </c>
      <c r="H733" s="16" t="str">
        <f aca="false">IF(B733="","",F733*IFERROR(INDEX(Despesas!$B$5:$B$8,MATCH(D733,Despesas!$A$5:$A$8,0)),0))</f>
        <v/>
      </c>
      <c r="I733" s="16" t="str">
        <f aca="false">IF(B733="","",F733-G733-H733)</f>
        <v/>
      </c>
    </row>
    <row r="734" customFormat="false" ht="15" hidden="false" customHeight="false" outlineLevel="0" collapsed="false">
      <c r="A734" s="34"/>
      <c r="B734" s="30"/>
      <c r="C734" s="30"/>
      <c r="D734" s="30"/>
      <c r="E734" s="16" t="str">
        <f aca="false">IF(B734="","",IFERROR(INDEX(Produtos!$C$5:$C$44,MATCH(B734,Produtos!$A$5:$A$44,0)),0))</f>
        <v/>
      </c>
      <c r="F734" s="16" t="str">
        <f aca="false">IF(B734="","",C734*E734)</f>
        <v/>
      </c>
      <c r="G734" s="16" t="str">
        <f aca="false">IF(B734="","",C734*IFERROR(INDEX(Produtos!$D$5:$D$44,MATCH(B734,Produtos!$A$5:$A$44,0)),0))</f>
        <v/>
      </c>
      <c r="H734" s="16" t="str">
        <f aca="false">IF(B734="","",F734*IFERROR(INDEX(Despesas!$B$5:$B$8,MATCH(D734,Despesas!$A$5:$A$8,0)),0))</f>
        <v/>
      </c>
      <c r="I734" s="16" t="str">
        <f aca="false">IF(B734="","",F734-G734-H734)</f>
        <v/>
      </c>
    </row>
    <row r="735" customFormat="false" ht="15" hidden="false" customHeight="false" outlineLevel="0" collapsed="false">
      <c r="A735" s="34"/>
      <c r="B735" s="30"/>
      <c r="C735" s="30"/>
      <c r="D735" s="30"/>
      <c r="E735" s="16" t="str">
        <f aca="false">IF(B735="","",IFERROR(INDEX(Produtos!$C$5:$C$44,MATCH(B735,Produtos!$A$5:$A$44,0)),0))</f>
        <v/>
      </c>
      <c r="F735" s="16" t="str">
        <f aca="false">IF(B735="","",C735*E735)</f>
        <v/>
      </c>
      <c r="G735" s="16" t="str">
        <f aca="false">IF(B735="","",C735*IFERROR(INDEX(Produtos!$D$5:$D$44,MATCH(B735,Produtos!$A$5:$A$44,0)),0))</f>
        <v/>
      </c>
      <c r="H735" s="16" t="str">
        <f aca="false">IF(B735="","",F735*IFERROR(INDEX(Despesas!$B$5:$B$8,MATCH(D735,Despesas!$A$5:$A$8,0)),0))</f>
        <v/>
      </c>
      <c r="I735" s="16" t="str">
        <f aca="false">IF(B735="","",F735-G735-H735)</f>
        <v/>
      </c>
    </row>
    <row r="736" customFormat="false" ht="15" hidden="false" customHeight="false" outlineLevel="0" collapsed="false">
      <c r="A736" s="34"/>
      <c r="B736" s="30"/>
      <c r="C736" s="30"/>
      <c r="D736" s="30"/>
      <c r="E736" s="16" t="str">
        <f aca="false">IF(B736="","",IFERROR(INDEX(Produtos!$C$5:$C$44,MATCH(B736,Produtos!$A$5:$A$44,0)),0))</f>
        <v/>
      </c>
      <c r="F736" s="16" t="str">
        <f aca="false">IF(B736="","",C736*E736)</f>
        <v/>
      </c>
      <c r="G736" s="16" t="str">
        <f aca="false">IF(B736="","",C736*IFERROR(INDEX(Produtos!$D$5:$D$44,MATCH(B736,Produtos!$A$5:$A$44,0)),0))</f>
        <v/>
      </c>
      <c r="H736" s="16" t="str">
        <f aca="false">IF(B736="","",F736*IFERROR(INDEX(Despesas!$B$5:$B$8,MATCH(D736,Despesas!$A$5:$A$8,0)),0))</f>
        <v/>
      </c>
      <c r="I736" s="16" t="str">
        <f aca="false">IF(B736="","",F736-G736-H736)</f>
        <v/>
      </c>
    </row>
    <row r="737" customFormat="false" ht="15" hidden="false" customHeight="false" outlineLevel="0" collapsed="false">
      <c r="A737" s="34"/>
      <c r="B737" s="30"/>
      <c r="C737" s="30"/>
      <c r="D737" s="30"/>
      <c r="E737" s="16" t="str">
        <f aca="false">IF(B737="","",IFERROR(INDEX(Produtos!$C$5:$C$44,MATCH(B737,Produtos!$A$5:$A$44,0)),0))</f>
        <v/>
      </c>
      <c r="F737" s="16" t="str">
        <f aca="false">IF(B737="","",C737*E737)</f>
        <v/>
      </c>
      <c r="G737" s="16" t="str">
        <f aca="false">IF(B737="","",C737*IFERROR(INDEX(Produtos!$D$5:$D$44,MATCH(B737,Produtos!$A$5:$A$44,0)),0))</f>
        <v/>
      </c>
      <c r="H737" s="16" t="str">
        <f aca="false">IF(B737="","",F737*IFERROR(INDEX(Despesas!$B$5:$B$8,MATCH(D737,Despesas!$A$5:$A$8,0)),0))</f>
        <v/>
      </c>
      <c r="I737" s="16" t="str">
        <f aca="false">IF(B737="","",F737-G737-H737)</f>
        <v/>
      </c>
    </row>
    <row r="738" customFormat="false" ht="15" hidden="false" customHeight="false" outlineLevel="0" collapsed="false">
      <c r="A738" s="34"/>
      <c r="B738" s="30"/>
      <c r="C738" s="30"/>
      <c r="D738" s="30"/>
      <c r="E738" s="16" t="str">
        <f aca="false">IF(B738="","",IFERROR(INDEX(Produtos!$C$5:$C$44,MATCH(B738,Produtos!$A$5:$A$44,0)),0))</f>
        <v/>
      </c>
      <c r="F738" s="16" t="str">
        <f aca="false">IF(B738="","",C738*E738)</f>
        <v/>
      </c>
      <c r="G738" s="16" t="str">
        <f aca="false">IF(B738="","",C738*IFERROR(INDEX(Produtos!$D$5:$D$44,MATCH(B738,Produtos!$A$5:$A$44,0)),0))</f>
        <v/>
      </c>
      <c r="H738" s="16" t="str">
        <f aca="false">IF(B738="","",F738*IFERROR(INDEX(Despesas!$B$5:$B$8,MATCH(D738,Despesas!$A$5:$A$8,0)),0))</f>
        <v/>
      </c>
      <c r="I738" s="16" t="str">
        <f aca="false">IF(B738="","",F738-G738-H738)</f>
        <v/>
      </c>
    </row>
    <row r="739" customFormat="false" ht="15" hidden="false" customHeight="false" outlineLevel="0" collapsed="false">
      <c r="A739" s="34"/>
      <c r="B739" s="30"/>
      <c r="C739" s="30"/>
      <c r="D739" s="30"/>
      <c r="E739" s="16" t="str">
        <f aca="false">IF(B739="","",IFERROR(INDEX(Produtos!$C$5:$C$44,MATCH(B739,Produtos!$A$5:$A$44,0)),0))</f>
        <v/>
      </c>
      <c r="F739" s="16" t="str">
        <f aca="false">IF(B739="","",C739*E739)</f>
        <v/>
      </c>
      <c r="G739" s="16" t="str">
        <f aca="false">IF(B739="","",C739*IFERROR(INDEX(Produtos!$D$5:$D$44,MATCH(B739,Produtos!$A$5:$A$44,0)),0))</f>
        <v/>
      </c>
      <c r="H739" s="16" t="str">
        <f aca="false">IF(B739="","",F739*IFERROR(INDEX(Despesas!$B$5:$B$8,MATCH(D739,Despesas!$A$5:$A$8,0)),0))</f>
        <v/>
      </c>
      <c r="I739" s="16" t="str">
        <f aca="false">IF(B739="","",F739-G739-H739)</f>
        <v/>
      </c>
    </row>
    <row r="740" customFormat="false" ht="15" hidden="false" customHeight="false" outlineLevel="0" collapsed="false">
      <c r="A740" s="34"/>
      <c r="B740" s="30"/>
      <c r="C740" s="30"/>
      <c r="D740" s="30"/>
      <c r="E740" s="16" t="str">
        <f aca="false">IF(B740="","",IFERROR(INDEX(Produtos!$C$5:$C$44,MATCH(B740,Produtos!$A$5:$A$44,0)),0))</f>
        <v/>
      </c>
      <c r="F740" s="16" t="str">
        <f aca="false">IF(B740="","",C740*E740)</f>
        <v/>
      </c>
      <c r="G740" s="16" t="str">
        <f aca="false">IF(B740="","",C740*IFERROR(INDEX(Produtos!$D$5:$D$44,MATCH(B740,Produtos!$A$5:$A$44,0)),0))</f>
        <v/>
      </c>
      <c r="H740" s="16" t="str">
        <f aca="false">IF(B740="","",F740*IFERROR(INDEX(Despesas!$B$5:$B$8,MATCH(D740,Despesas!$A$5:$A$8,0)),0))</f>
        <v/>
      </c>
      <c r="I740" s="16" t="str">
        <f aca="false">IF(B740="","",F740-G740-H740)</f>
        <v/>
      </c>
    </row>
    <row r="741" customFormat="false" ht="15" hidden="false" customHeight="false" outlineLevel="0" collapsed="false">
      <c r="A741" s="34"/>
      <c r="B741" s="30"/>
      <c r="C741" s="30"/>
      <c r="D741" s="30"/>
      <c r="E741" s="16" t="str">
        <f aca="false">IF(B741="","",IFERROR(INDEX(Produtos!$C$5:$C$44,MATCH(B741,Produtos!$A$5:$A$44,0)),0))</f>
        <v/>
      </c>
      <c r="F741" s="16" t="str">
        <f aca="false">IF(B741="","",C741*E741)</f>
        <v/>
      </c>
      <c r="G741" s="16" t="str">
        <f aca="false">IF(B741="","",C741*IFERROR(INDEX(Produtos!$D$5:$D$44,MATCH(B741,Produtos!$A$5:$A$44,0)),0))</f>
        <v/>
      </c>
      <c r="H741" s="16" t="str">
        <f aca="false">IF(B741="","",F741*IFERROR(INDEX(Despesas!$B$5:$B$8,MATCH(D741,Despesas!$A$5:$A$8,0)),0))</f>
        <v/>
      </c>
      <c r="I741" s="16" t="str">
        <f aca="false">IF(B741="","",F741-G741-H741)</f>
        <v/>
      </c>
    </row>
    <row r="742" customFormat="false" ht="15" hidden="false" customHeight="false" outlineLevel="0" collapsed="false">
      <c r="A742" s="34"/>
      <c r="B742" s="30"/>
      <c r="C742" s="30"/>
      <c r="D742" s="30"/>
      <c r="E742" s="16" t="str">
        <f aca="false">IF(B742="","",IFERROR(INDEX(Produtos!$C$5:$C$44,MATCH(B742,Produtos!$A$5:$A$44,0)),0))</f>
        <v/>
      </c>
      <c r="F742" s="16" t="str">
        <f aca="false">IF(B742="","",C742*E742)</f>
        <v/>
      </c>
      <c r="G742" s="16" t="str">
        <f aca="false">IF(B742="","",C742*IFERROR(INDEX(Produtos!$D$5:$D$44,MATCH(B742,Produtos!$A$5:$A$44,0)),0))</f>
        <v/>
      </c>
      <c r="H742" s="16" t="str">
        <f aca="false">IF(B742="","",F742*IFERROR(INDEX(Despesas!$B$5:$B$8,MATCH(D742,Despesas!$A$5:$A$8,0)),0))</f>
        <v/>
      </c>
      <c r="I742" s="16" t="str">
        <f aca="false">IF(B742="","",F742-G742-H742)</f>
        <v/>
      </c>
    </row>
    <row r="743" customFormat="false" ht="15" hidden="false" customHeight="false" outlineLevel="0" collapsed="false">
      <c r="A743" s="34"/>
      <c r="B743" s="30"/>
      <c r="C743" s="30"/>
      <c r="D743" s="30"/>
      <c r="E743" s="16" t="str">
        <f aca="false">IF(B743="","",IFERROR(INDEX(Produtos!$C$5:$C$44,MATCH(B743,Produtos!$A$5:$A$44,0)),0))</f>
        <v/>
      </c>
      <c r="F743" s="16" t="str">
        <f aca="false">IF(B743="","",C743*E743)</f>
        <v/>
      </c>
      <c r="G743" s="16" t="str">
        <f aca="false">IF(B743="","",C743*IFERROR(INDEX(Produtos!$D$5:$D$44,MATCH(B743,Produtos!$A$5:$A$44,0)),0))</f>
        <v/>
      </c>
      <c r="H743" s="16" t="str">
        <f aca="false">IF(B743="","",F743*IFERROR(INDEX(Despesas!$B$5:$B$8,MATCH(D743,Despesas!$A$5:$A$8,0)),0))</f>
        <v/>
      </c>
      <c r="I743" s="16" t="str">
        <f aca="false">IF(B743="","",F743-G743-H743)</f>
        <v/>
      </c>
    </row>
    <row r="744" customFormat="false" ht="15" hidden="false" customHeight="false" outlineLevel="0" collapsed="false">
      <c r="A744" s="34"/>
      <c r="B744" s="30"/>
      <c r="C744" s="30"/>
      <c r="D744" s="30"/>
      <c r="E744" s="16" t="str">
        <f aca="false">IF(B744="","",IFERROR(INDEX(Produtos!$C$5:$C$44,MATCH(B744,Produtos!$A$5:$A$44,0)),0))</f>
        <v/>
      </c>
      <c r="F744" s="16" t="str">
        <f aca="false">IF(B744="","",C744*E744)</f>
        <v/>
      </c>
      <c r="G744" s="16" t="str">
        <f aca="false">IF(B744="","",C744*IFERROR(INDEX(Produtos!$D$5:$D$44,MATCH(B744,Produtos!$A$5:$A$44,0)),0))</f>
        <v/>
      </c>
      <c r="H744" s="16" t="str">
        <f aca="false">IF(B744="","",F744*IFERROR(INDEX(Despesas!$B$5:$B$8,MATCH(D744,Despesas!$A$5:$A$8,0)),0))</f>
        <v/>
      </c>
      <c r="I744" s="16" t="str">
        <f aca="false">IF(B744="","",F744-G744-H744)</f>
        <v/>
      </c>
    </row>
    <row r="745" customFormat="false" ht="15" hidden="false" customHeight="false" outlineLevel="0" collapsed="false">
      <c r="A745" s="34"/>
      <c r="B745" s="30"/>
      <c r="C745" s="30"/>
      <c r="D745" s="30"/>
      <c r="E745" s="16" t="str">
        <f aca="false">IF(B745="","",IFERROR(INDEX(Produtos!$C$5:$C$44,MATCH(B745,Produtos!$A$5:$A$44,0)),0))</f>
        <v/>
      </c>
      <c r="F745" s="16" t="str">
        <f aca="false">IF(B745="","",C745*E745)</f>
        <v/>
      </c>
      <c r="G745" s="16" t="str">
        <f aca="false">IF(B745="","",C745*IFERROR(INDEX(Produtos!$D$5:$D$44,MATCH(B745,Produtos!$A$5:$A$44,0)),0))</f>
        <v/>
      </c>
      <c r="H745" s="16" t="str">
        <f aca="false">IF(B745="","",F745*IFERROR(INDEX(Despesas!$B$5:$B$8,MATCH(D745,Despesas!$A$5:$A$8,0)),0))</f>
        <v/>
      </c>
      <c r="I745" s="16" t="str">
        <f aca="false">IF(B745="","",F745-G745-H745)</f>
        <v/>
      </c>
    </row>
    <row r="746" customFormat="false" ht="15" hidden="false" customHeight="false" outlineLevel="0" collapsed="false">
      <c r="A746" s="34"/>
      <c r="B746" s="30"/>
      <c r="C746" s="30"/>
      <c r="D746" s="30"/>
      <c r="E746" s="16" t="str">
        <f aca="false">IF(B746="","",IFERROR(INDEX(Produtos!$C$5:$C$44,MATCH(B746,Produtos!$A$5:$A$44,0)),0))</f>
        <v/>
      </c>
      <c r="F746" s="16" t="str">
        <f aca="false">IF(B746="","",C746*E746)</f>
        <v/>
      </c>
      <c r="G746" s="16" t="str">
        <f aca="false">IF(B746="","",C746*IFERROR(INDEX(Produtos!$D$5:$D$44,MATCH(B746,Produtos!$A$5:$A$44,0)),0))</f>
        <v/>
      </c>
      <c r="H746" s="16" t="str">
        <f aca="false">IF(B746="","",F746*IFERROR(INDEX(Despesas!$B$5:$B$8,MATCH(D746,Despesas!$A$5:$A$8,0)),0))</f>
        <v/>
      </c>
      <c r="I746" s="16" t="str">
        <f aca="false">IF(B746="","",F746-G746-H746)</f>
        <v/>
      </c>
    </row>
    <row r="747" customFormat="false" ht="15" hidden="false" customHeight="false" outlineLevel="0" collapsed="false">
      <c r="A747" s="34"/>
      <c r="B747" s="30"/>
      <c r="C747" s="30"/>
      <c r="D747" s="30"/>
      <c r="E747" s="16" t="str">
        <f aca="false">IF(B747="","",IFERROR(INDEX(Produtos!$C$5:$C$44,MATCH(B747,Produtos!$A$5:$A$44,0)),0))</f>
        <v/>
      </c>
      <c r="F747" s="16" t="str">
        <f aca="false">IF(B747="","",C747*E747)</f>
        <v/>
      </c>
      <c r="G747" s="16" t="str">
        <f aca="false">IF(B747="","",C747*IFERROR(INDEX(Produtos!$D$5:$D$44,MATCH(B747,Produtos!$A$5:$A$44,0)),0))</f>
        <v/>
      </c>
      <c r="H747" s="16" t="str">
        <f aca="false">IF(B747="","",F747*IFERROR(INDEX(Despesas!$B$5:$B$8,MATCH(D747,Despesas!$A$5:$A$8,0)),0))</f>
        <v/>
      </c>
      <c r="I747" s="16" t="str">
        <f aca="false">IF(B747="","",F747-G747-H747)</f>
        <v/>
      </c>
    </row>
    <row r="748" customFormat="false" ht="15" hidden="false" customHeight="false" outlineLevel="0" collapsed="false">
      <c r="A748" s="34"/>
      <c r="B748" s="30"/>
      <c r="C748" s="30"/>
      <c r="D748" s="30"/>
      <c r="E748" s="16" t="str">
        <f aca="false">IF(B748="","",IFERROR(INDEX(Produtos!$C$5:$C$44,MATCH(B748,Produtos!$A$5:$A$44,0)),0))</f>
        <v/>
      </c>
      <c r="F748" s="16" t="str">
        <f aca="false">IF(B748="","",C748*E748)</f>
        <v/>
      </c>
      <c r="G748" s="16" t="str">
        <f aca="false">IF(B748="","",C748*IFERROR(INDEX(Produtos!$D$5:$D$44,MATCH(B748,Produtos!$A$5:$A$44,0)),0))</f>
        <v/>
      </c>
      <c r="H748" s="16" t="str">
        <f aca="false">IF(B748="","",F748*IFERROR(INDEX(Despesas!$B$5:$B$8,MATCH(D748,Despesas!$A$5:$A$8,0)),0))</f>
        <v/>
      </c>
      <c r="I748" s="16" t="str">
        <f aca="false">IF(B748="","",F748-G748-H748)</f>
        <v/>
      </c>
    </row>
    <row r="749" customFormat="false" ht="15" hidden="false" customHeight="false" outlineLevel="0" collapsed="false">
      <c r="A749" s="34"/>
      <c r="B749" s="30"/>
      <c r="C749" s="30"/>
      <c r="D749" s="30"/>
      <c r="E749" s="16" t="str">
        <f aca="false">IF(B749="","",IFERROR(INDEX(Produtos!$C$5:$C$44,MATCH(B749,Produtos!$A$5:$A$44,0)),0))</f>
        <v/>
      </c>
      <c r="F749" s="16" t="str">
        <f aca="false">IF(B749="","",C749*E749)</f>
        <v/>
      </c>
      <c r="G749" s="16" t="str">
        <f aca="false">IF(B749="","",C749*IFERROR(INDEX(Produtos!$D$5:$D$44,MATCH(B749,Produtos!$A$5:$A$44,0)),0))</f>
        <v/>
      </c>
      <c r="H749" s="16" t="str">
        <f aca="false">IF(B749="","",F749*IFERROR(INDEX(Despesas!$B$5:$B$8,MATCH(D749,Despesas!$A$5:$A$8,0)),0))</f>
        <v/>
      </c>
      <c r="I749" s="16" t="str">
        <f aca="false">IF(B749="","",F749-G749-H749)</f>
        <v/>
      </c>
    </row>
    <row r="750" customFormat="false" ht="15" hidden="false" customHeight="false" outlineLevel="0" collapsed="false">
      <c r="A750" s="34"/>
      <c r="B750" s="30"/>
      <c r="C750" s="30"/>
      <c r="D750" s="30"/>
      <c r="E750" s="16" t="str">
        <f aca="false">IF(B750="","",IFERROR(INDEX(Produtos!$C$5:$C$44,MATCH(B750,Produtos!$A$5:$A$44,0)),0))</f>
        <v/>
      </c>
      <c r="F750" s="16" t="str">
        <f aca="false">IF(B750="","",C750*E750)</f>
        <v/>
      </c>
      <c r="G750" s="16" t="str">
        <f aca="false">IF(B750="","",C750*IFERROR(INDEX(Produtos!$D$5:$D$44,MATCH(B750,Produtos!$A$5:$A$44,0)),0))</f>
        <v/>
      </c>
      <c r="H750" s="16" t="str">
        <f aca="false">IF(B750="","",F750*IFERROR(INDEX(Despesas!$B$5:$B$8,MATCH(D750,Despesas!$A$5:$A$8,0)),0))</f>
        <v/>
      </c>
      <c r="I750" s="16" t="str">
        <f aca="false">IF(B750="","",F750-G750-H750)</f>
        <v/>
      </c>
    </row>
    <row r="751" customFormat="false" ht="15" hidden="false" customHeight="false" outlineLevel="0" collapsed="false">
      <c r="A751" s="34"/>
      <c r="B751" s="30"/>
      <c r="C751" s="30"/>
      <c r="D751" s="30"/>
      <c r="E751" s="16" t="str">
        <f aca="false">IF(B751="","",IFERROR(INDEX(Produtos!$C$5:$C$44,MATCH(B751,Produtos!$A$5:$A$44,0)),0))</f>
        <v/>
      </c>
      <c r="F751" s="16" t="str">
        <f aca="false">IF(B751="","",C751*E751)</f>
        <v/>
      </c>
      <c r="G751" s="16" t="str">
        <f aca="false">IF(B751="","",C751*IFERROR(INDEX(Produtos!$D$5:$D$44,MATCH(B751,Produtos!$A$5:$A$44,0)),0))</f>
        <v/>
      </c>
      <c r="H751" s="16" t="str">
        <f aca="false">IF(B751="","",F751*IFERROR(INDEX(Despesas!$B$5:$B$8,MATCH(D751,Despesas!$A$5:$A$8,0)),0))</f>
        <v/>
      </c>
      <c r="I751" s="16" t="str">
        <f aca="false">IF(B751="","",F751-G751-H751)</f>
        <v/>
      </c>
    </row>
    <row r="752" customFormat="false" ht="15" hidden="false" customHeight="false" outlineLevel="0" collapsed="false">
      <c r="A752" s="34"/>
      <c r="B752" s="30"/>
      <c r="C752" s="30"/>
      <c r="D752" s="30"/>
      <c r="E752" s="16" t="str">
        <f aca="false">IF(B752="","",IFERROR(INDEX(Produtos!$C$5:$C$44,MATCH(B752,Produtos!$A$5:$A$44,0)),0))</f>
        <v/>
      </c>
      <c r="F752" s="16" t="str">
        <f aca="false">IF(B752="","",C752*E752)</f>
        <v/>
      </c>
      <c r="G752" s="16" t="str">
        <f aca="false">IF(B752="","",C752*IFERROR(INDEX(Produtos!$D$5:$D$44,MATCH(B752,Produtos!$A$5:$A$44,0)),0))</f>
        <v/>
      </c>
      <c r="H752" s="16" t="str">
        <f aca="false">IF(B752="","",F752*IFERROR(INDEX(Despesas!$B$5:$B$8,MATCH(D752,Despesas!$A$5:$A$8,0)),0))</f>
        <v/>
      </c>
      <c r="I752" s="16" t="str">
        <f aca="false">IF(B752="","",F752-G752-H752)</f>
        <v/>
      </c>
    </row>
    <row r="753" customFormat="false" ht="15" hidden="false" customHeight="false" outlineLevel="0" collapsed="false">
      <c r="A753" s="34"/>
      <c r="B753" s="30"/>
      <c r="C753" s="30"/>
      <c r="D753" s="30"/>
      <c r="E753" s="16" t="str">
        <f aca="false">IF(B753="","",IFERROR(INDEX(Produtos!$C$5:$C$44,MATCH(B753,Produtos!$A$5:$A$44,0)),0))</f>
        <v/>
      </c>
      <c r="F753" s="16" t="str">
        <f aca="false">IF(B753="","",C753*E753)</f>
        <v/>
      </c>
      <c r="G753" s="16" t="str">
        <f aca="false">IF(B753="","",C753*IFERROR(INDEX(Produtos!$D$5:$D$44,MATCH(B753,Produtos!$A$5:$A$44,0)),0))</f>
        <v/>
      </c>
      <c r="H753" s="16" t="str">
        <f aca="false">IF(B753="","",F753*IFERROR(INDEX(Despesas!$B$5:$B$8,MATCH(D753,Despesas!$A$5:$A$8,0)),0))</f>
        <v/>
      </c>
      <c r="I753" s="16" t="str">
        <f aca="false">IF(B753="","",F753-G753-H753)</f>
        <v/>
      </c>
    </row>
    <row r="754" customFormat="false" ht="15" hidden="false" customHeight="false" outlineLevel="0" collapsed="false">
      <c r="A754" s="34"/>
      <c r="B754" s="30"/>
      <c r="C754" s="30"/>
      <c r="D754" s="30"/>
      <c r="E754" s="16" t="str">
        <f aca="false">IF(B754="","",IFERROR(INDEX(Produtos!$C$5:$C$44,MATCH(B754,Produtos!$A$5:$A$44,0)),0))</f>
        <v/>
      </c>
      <c r="F754" s="16" t="str">
        <f aca="false">IF(B754="","",C754*E754)</f>
        <v/>
      </c>
      <c r="G754" s="16" t="str">
        <f aca="false">IF(B754="","",C754*IFERROR(INDEX(Produtos!$D$5:$D$44,MATCH(B754,Produtos!$A$5:$A$44,0)),0))</f>
        <v/>
      </c>
      <c r="H754" s="16" t="str">
        <f aca="false">IF(B754="","",F754*IFERROR(INDEX(Despesas!$B$5:$B$8,MATCH(D754,Despesas!$A$5:$A$8,0)),0))</f>
        <v/>
      </c>
      <c r="I754" s="16" t="str">
        <f aca="false">IF(B754="","",F754-G754-H754)</f>
        <v/>
      </c>
    </row>
    <row r="755" customFormat="false" ht="15" hidden="false" customHeight="false" outlineLevel="0" collapsed="false">
      <c r="A755" s="34"/>
      <c r="B755" s="30"/>
      <c r="C755" s="30"/>
      <c r="D755" s="30"/>
      <c r="E755" s="16" t="str">
        <f aca="false">IF(B755="","",IFERROR(INDEX(Produtos!$C$5:$C$44,MATCH(B755,Produtos!$A$5:$A$44,0)),0))</f>
        <v/>
      </c>
      <c r="F755" s="16" t="str">
        <f aca="false">IF(B755="","",C755*E755)</f>
        <v/>
      </c>
      <c r="G755" s="16" t="str">
        <f aca="false">IF(B755="","",C755*IFERROR(INDEX(Produtos!$D$5:$D$44,MATCH(B755,Produtos!$A$5:$A$44,0)),0))</f>
        <v/>
      </c>
      <c r="H755" s="16" t="str">
        <f aca="false">IF(B755="","",F755*IFERROR(INDEX(Despesas!$B$5:$B$8,MATCH(D755,Despesas!$A$5:$A$8,0)),0))</f>
        <v/>
      </c>
      <c r="I755" s="16" t="str">
        <f aca="false">IF(B755="","",F755-G755-H755)</f>
        <v/>
      </c>
    </row>
    <row r="756" customFormat="false" ht="15" hidden="false" customHeight="false" outlineLevel="0" collapsed="false">
      <c r="A756" s="34"/>
      <c r="B756" s="30"/>
      <c r="C756" s="30"/>
      <c r="D756" s="30"/>
      <c r="E756" s="16" t="str">
        <f aca="false">IF(B756="","",IFERROR(INDEX(Produtos!$C$5:$C$44,MATCH(B756,Produtos!$A$5:$A$44,0)),0))</f>
        <v/>
      </c>
      <c r="F756" s="16" t="str">
        <f aca="false">IF(B756="","",C756*E756)</f>
        <v/>
      </c>
      <c r="G756" s="16" t="str">
        <f aca="false">IF(B756="","",C756*IFERROR(INDEX(Produtos!$D$5:$D$44,MATCH(B756,Produtos!$A$5:$A$44,0)),0))</f>
        <v/>
      </c>
      <c r="H756" s="16" t="str">
        <f aca="false">IF(B756="","",F756*IFERROR(INDEX(Despesas!$B$5:$B$8,MATCH(D756,Despesas!$A$5:$A$8,0)),0))</f>
        <v/>
      </c>
      <c r="I756" s="16" t="str">
        <f aca="false">IF(B756="","",F756-G756-H756)</f>
        <v/>
      </c>
    </row>
    <row r="757" customFormat="false" ht="15" hidden="false" customHeight="false" outlineLevel="0" collapsed="false">
      <c r="A757" s="34"/>
      <c r="B757" s="30"/>
      <c r="C757" s="30"/>
      <c r="D757" s="30"/>
      <c r="E757" s="16" t="str">
        <f aca="false">IF(B757="","",IFERROR(INDEX(Produtos!$C$5:$C$44,MATCH(B757,Produtos!$A$5:$A$44,0)),0))</f>
        <v/>
      </c>
      <c r="F757" s="16" t="str">
        <f aca="false">IF(B757="","",C757*E757)</f>
        <v/>
      </c>
      <c r="G757" s="16" t="str">
        <f aca="false">IF(B757="","",C757*IFERROR(INDEX(Produtos!$D$5:$D$44,MATCH(B757,Produtos!$A$5:$A$44,0)),0))</f>
        <v/>
      </c>
      <c r="H757" s="16" t="str">
        <f aca="false">IF(B757="","",F757*IFERROR(INDEX(Despesas!$B$5:$B$8,MATCH(D757,Despesas!$A$5:$A$8,0)),0))</f>
        <v/>
      </c>
      <c r="I757" s="16" t="str">
        <f aca="false">IF(B757="","",F757-G757-H757)</f>
        <v/>
      </c>
    </row>
    <row r="758" customFormat="false" ht="15" hidden="false" customHeight="false" outlineLevel="0" collapsed="false">
      <c r="A758" s="34"/>
      <c r="B758" s="30"/>
      <c r="C758" s="30"/>
      <c r="D758" s="30"/>
      <c r="E758" s="16" t="str">
        <f aca="false">IF(B758="","",IFERROR(INDEX(Produtos!$C$5:$C$44,MATCH(B758,Produtos!$A$5:$A$44,0)),0))</f>
        <v/>
      </c>
      <c r="F758" s="16" t="str">
        <f aca="false">IF(B758="","",C758*E758)</f>
        <v/>
      </c>
      <c r="G758" s="16" t="str">
        <f aca="false">IF(B758="","",C758*IFERROR(INDEX(Produtos!$D$5:$D$44,MATCH(B758,Produtos!$A$5:$A$44,0)),0))</f>
        <v/>
      </c>
      <c r="H758" s="16" t="str">
        <f aca="false">IF(B758="","",F758*IFERROR(INDEX(Despesas!$B$5:$B$8,MATCH(D758,Despesas!$A$5:$A$8,0)),0))</f>
        <v/>
      </c>
      <c r="I758" s="16" t="str">
        <f aca="false">IF(B758="","",F758-G758-H758)</f>
        <v/>
      </c>
    </row>
    <row r="759" customFormat="false" ht="15" hidden="false" customHeight="false" outlineLevel="0" collapsed="false">
      <c r="A759" s="34"/>
      <c r="B759" s="30"/>
      <c r="C759" s="30"/>
      <c r="D759" s="30"/>
      <c r="E759" s="16" t="str">
        <f aca="false">IF(B759="","",IFERROR(INDEX(Produtos!$C$5:$C$44,MATCH(B759,Produtos!$A$5:$A$44,0)),0))</f>
        <v/>
      </c>
      <c r="F759" s="16" t="str">
        <f aca="false">IF(B759="","",C759*E759)</f>
        <v/>
      </c>
      <c r="G759" s="16" t="str">
        <f aca="false">IF(B759="","",C759*IFERROR(INDEX(Produtos!$D$5:$D$44,MATCH(B759,Produtos!$A$5:$A$44,0)),0))</f>
        <v/>
      </c>
      <c r="H759" s="16" t="str">
        <f aca="false">IF(B759="","",F759*IFERROR(INDEX(Despesas!$B$5:$B$8,MATCH(D759,Despesas!$A$5:$A$8,0)),0))</f>
        <v/>
      </c>
      <c r="I759" s="16" t="str">
        <f aca="false">IF(B759="","",F759-G759-H759)</f>
        <v/>
      </c>
    </row>
    <row r="760" customFormat="false" ht="15" hidden="false" customHeight="false" outlineLevel="0" collapsed="false">
      <c r="A760" s="34"/>
      <c r="B760" s="30"/>
      <c r="C760" s="30"/>
      <c r="D760" s="30"/>
      <c r="E760" s="16" t="str">
        <f aca="false">IF(B760="","",IFERROR(INDEX(Produtos!$C$5:$C$44,MATCH(B760,Produtos!$A$5:$A$44,0)),0))</f>
        <v/>
      </c>
      <c r="F760" s="16" t="str">
        <f aca="false">IF(B760="","",C760*E760)</f>
        <v/>
      </c>
      <c r="G760" s="16" t="str">
        <f aca="false">IF(B760="","",C760*IFERROR(INDEX(Produtos!$D$5:$D$44,MATCH(B760,Produtos!$A$5:$A$44,0)),0))</f>
        <v/>
      </c>
      <c r="H760" s="16" t="str">
        <f aca="false">IF(B760="","",F760*IFERROR(INDEX(Despesas!$B$5:$B$8,MATCH(D760,Despesas!$A$5:$A$8,0)),0))</f>
        <v/>
      </c>
      <c r="I760" s="16" t="str">
        <f aca="false">IF(B760="","",F760-G760-H760)</f>
        <v/>
      </c>
    </row>
    <row r="761" customFormat="false" ht="15" hidden="false" customHeight="false" outlineLevel="0" collapsed="false">
      <c r="A761" s="34"/>
      <c r="B761" s="30"/>
      <c r="C761" s="30"/>
      <c r="D761" s="30"/>
      <c r="E761" s="16" t="str">
        <f aca="false">IF(B761="","",IFERROR(INDEX(Produtos!$C$5:$C$44,MATCH(B761,Produtos!$A$5:$A$44,0)),0))</f>
        <v/>
      </c>
      <c r="F761" s="16" t="str">
        <f aca="false">IF(B761="","",C761*E761)</f>
        <v/>
      </c>
      <c r="G761" s="16" t="str">
        <f aca="false">IF(B761="","",C761*IFERROR(INDEX(Produtos!$D$5:$D$44,MATCH(B761,Produtos!$A$5:$A$44,0)),0))</f>
        <v/>
      </c>
      <c r="H761" s="16" t="str">
        <f aca="false">IF(B761="","",F761*IFERROR(INDEX(Despesas!$B$5:$B$8,MATCH(D761,Despesas!$A$5:$A$8,0)),0))</f>
        <v/>
      </c>
      <c r="I761" s="16" t="str">
        <f aca="false">IF(B761="","",F761-G761-H761)</f>
        <v/>
      </c>
    </row>
    <row r="762" customFormat="false" ht="15" hidden="false" customHeight="false" outlineLevel="0" collapsed="false">
      <c r="A762" s="34"/>
      <c r="B762" s="30"/>
      <c r="C762" s="30"/>
      <c r="D762" s="30"/>
      <c r="E762" s="16" t="str">
        <f aca="false">IF(B762="","",IFERROR(INDEX(Produtos!$C$5:$C$44,MATCH(B762,Produtos!$A$5:$A$44,0)),0))</f>
        <v/>
      </c>
      <c r="F762" s="16" t="str">
        <f aca="false">IF(B762="","",C762*E762)</f>
        <v/>
      </c>
      <c r="G762" s="16" t="str">
        <f aca="false">IF(B762="","",C762*IFERROR(INDEX(Produtos!$D$5:$D$44,MATCH(B762,Produtos!$A$5:$A$44,0)),0))</f>
        <v/>
      </c>
      <c r="H762" s="16" t="str">
        <f aca="false">IF(B762="","",F762*IFERROR(INDEX(Despesas!$B$5:$B$8,MATCH(D762,Despesas!$A$5:$A$8,0)),0))</f>
        <v/>
      </c>
      <c r="I762" s="16" t="str">
        <f aca="false">IF(B762="","",F762-G762-H762)</f>
        <v/>
      </c>
    </row>
    <row r="763" customFormat="false" ht="15" hidden="false" customHeight="false" outlineLevel="0" collapsed="false">
      <c r="A763" s="34"/>
      <c r="B763" s="30"/>
      <c r="C763" s="30"/>
      <c r="D763" s="30"/>
      <c r="E763" s="16" t="str">
        <f aca="false">IF(B763="","",IFERROR(INDEX(Produtos!$C$5:$C$44,MATCH(B763,Produtos!$A$5:$A$44,0)),0))</f>
        <v/>
      </c>
      <c r="F763" s="16" t="str">
        <f aca="false">IF(B763="","",C763*E763)</f>
        <v/>
      </c>
      <c r="G763" s="16" t="str">
        <f aca="false">IF(B763="","",C763*IFERROR(INDEX(Produtos!$D$5:$D$44,MATCH(B763,Produtos!$A$5:$A$44,0)),0))</f>
        <v/>
      </c>
      <c r="H763" s="16" t="str">
        <f aca="false">IF(B763="","",F763*IFERROR(INDEX(Despesas!$B$5:$B$8,MATCH(D763,Despesas!$A$5:$A$8,0)),0))</f>
        <v/>
      </c>
      <c r="I763" s="16" t="str">
        <f aca="false">IF(B763="","",F763-G763-H763)</f>
        <v/>
      </c>
    </row>
    <row r="764" customFormat="false" ht="15" hidden="false" customHeight="false" outlineLevel="0" collapsed="false">
      <c r="A764" s="34"/>
      <c r="B764" s="30"/>
      <c r="C764" s="30"/>
      <c r="D764" s="30"/>
      <c r="E764" s="16" t="str">
        <f aca="false">IF(B764="","",IFERROR(INDEX(Produtos!$C$5:$C$44,MATCH(B764,Produtos!$A$5:$A$44,0)),0))</f>
        <v/>
      </c>
      <c r="F764" s="16" t="str">
        <f aca="false">IF(B764="","",C764*E764)</f>
        <v/>
      </c>
      <c r="G764" s="16" t="str">
        <f aca="false">IF(B764="","",C764*IFERROR(INDEX(Produtos!$D$5:$D$44,MATCH(B764,Produtos!$A$5:$A$44,0)),0))</f>
        <v/>
      </c>
      <c r="H764" s="16" t="str">
        <f aca="false">IF(B764="","",F764*IFERROR(INDEX(Despesas!$B$5:$B$8,MATCH(D764,Despesas!$A$5:$A$8,0)),0))</f>
        <v/>
      </c>
      <c r="I764" s="16" t="str">
        <f aca="false">IF(B764="","",F764-G764-H764)</f>
        <v/>
      </c>
    </row>
    <row r="765" customFormat="false" ht="15" hidden="false" customHeight="false" outlineLevel="0" collapsed="false">
      <c r="A765" s="34"/>
      <c r="B765" s="30"/>
      <c r="C765" s="30"/>
      <c r="D765" s="30"/>
      <c r="E765" s="16" t="str">
        <f aca="false">IF(B765="","",IFERROR(INDEX(Produtos!$C$5:$C$44,MATCH(B765,Produtos!$A$5:$A$44,0)),0))</f>
        <v/>
      </c>
      <c r="F765" s="16" t="str">
        <f aca="false">IF(B765="","",C765*E765)</f>
        <v/>
      </c>
      <c r="G765" s="16" t="str">
        <f aca="false">IF(B765="","",C765*IFERROR(INDEX(Produtos!$D$5:$D$44,MATCH(B765,Produtos!$A$5:$A$44,0)),0))</f>
        <v/>
      </c>
      <c r="H765" s="16" t="str">
        <f aca="false">IF(B765="","",F765*IFERROR(INDEX(Despesas!$B$5:$B$8,MATCH(D765,Despesas!$A$5:$A$8,0)),0))</f>
        <v/>
      </c>
      <c r="I765" s="16" t="str">
        <f aca="false">IF(B765="","",F765-G765-H765)</f>
        <v/>
      </c>
    </row>
    <row r="766" customFormat="false" ht="15" hidden="false" customHeight="false" outlineLevel="0" collapsed="false">
      <c r="A766" s="34"/>
      <c r="B766" s="30"/>
      <c r="C766" s="30"/>
      <c r="D766" s="30"/>
      <c r="E766" s="16" t="str">
        <f aca="false">IF(B766="","",IFERROR(INDEX(Produtos!$C$5:$C$44,MATCH(B766,Produtos!$A$5:$A$44,0)),0))</f>
        <v/>
      </c>
      <c r="F766" s="16" t="str">
        <f aca="false">IF(B766="","",C766*E766)</f>
        <v/>
      </c>
      <c r="G766" s="16" t="str">
        <f aca="false">IF(B766="","",C766*IFERROR(INDEX(Produtos!$D$5:$D$44,MATCH(B766,Produtos!$A$5:$A$44,0)),0))</f>
        <v/>
      </c>
      <c r="H766" s="16" t="str">
        <f aca="false">IF(B766="","",F766*IFERROR(INDEX(Despesas!$B$5:$B$8,MATCH(D766,Despesas!$A$5:$A$8,0)),0))</f>
        <v/>
      </c>
      <c r="I766" s="16" t="str">
        <f aca="false">IF(B766="","",F766-G766-H766)</f>
        <v/>
      </c>
    </row>
    <row r="767" customFormat="false" ht="15" hidden="false" customHeight="false" outlineLevel="0" collapsed="false">
      <c r="A767" s="34"/>
      <c r="B767" s="30"/>
      <c r="C767" s="30"/>
      <c r="D767" s="30"/>
      <c r="E767" s="16" t="str">
        <f aca="false">IF(B767="","",IFERROR(INDEX(Produtos!$C$5:$C$44,MATCH(B767,Produtos!$A$5:$A$44,0)),0))</f>
        <v/>
      </c>
      <c r="F767" s="16" t="str">
        <f aca="false">IF(B767="","",C767*E767)</f>
        <v/>
      </c>
      <c r="G767" s="16" t="str">
        <f aca="false">IF(B767="","",C767*IFERROR(INDEX(Produtos!$D$5:$D$44,MATCH(B767,Produtos!$A$5:$A$44,0)),0))</f>
        <v/>
      </c>
      <c r="H767" s="16" t="str">
        <f aca="false">IF(B767="","",F767*IFERROR(INDEX(Despesas!$B$5:$B$8,MATCH(D767,Despesas!$A$5:$A$8,0)),0))</f>
        <v/>
      </c>
      <c r="I767" s="16" t="str">
        <f aca="false">IF(B767="","",F767-G767-H767)</f>
        <v/>
      </c>
    </row>
    <row r="768" customFormat="false" ht="15" hidden="false" customHeight="false" outlineLevel="0" collapsed="false">
      <c r="A768" s="34"/>
      <c r="B768" s="30"/>
      <c r="C768" s="30"/>
      <c r="D768" s="30"/>
      <c r="E768" s="16" t="str">
        <f aca="false">IF(B768="","",IFERROR(INDEX(Produtos!$C$5:$C$44,MATCH(B768,Produtos!$A$5:$A$44,0)),0))</f>
        <v/>
      </c>
      <c r="F768" s="16" t="str">
        <f aca="false">IF(B768="","",C768*E768)</f>
        <v/>
      </c>
      <c r="G768" s="16" t="str">
        <f aca="false">IF(B768="","",C768*IFERROR(INDEX(Produtos!$D$5:$D$44,MATCH(B768,Produtos!$A$5:$A$44,0)),0))</f>
        <v/>
      </c>
      <c r="H768" s="16" t="str">
        <f aca="false">IF(B768="","",F768*IFERROR(INDEX(Despesas!$B$5:$B$8,MATCH(D768,Despesas!$A$5:$A$8,0)),0))</f>
        <v/>
      </c>
      <c r="I768" s="16" t="str">
        <f aca="false">IF(B768="","",F768-G768-H768)</f>
        <v/>
      </c>
    </row>
    <row r="769" customFormat="false" ht="15" hidden="false" customHeight="false" outlineLevel="0" collapsed="false">
      <c r="A769" s="34"/>
      <c r="B769" s="30"/>
      <c r="C769" s="30"/>
      <c r="D769" s="30"/>
      <c r="E769" s="16" t="str">
        <f aca="false">IF(B769="","",IFERROR(INDEX(Produtos!$C$5:$C$44,MATCH(B769,Produtos!$A$5:$A$44,0)),0))</f>
        <v/>
      </c>
      <c r="F769" s="16" t="str">
        <f aca="false">IF(B769="","",C769*E769)</f>
        <v/>
      </c>
      <c r="G769" s="16" t="str">
        <f aca="false">IF(B769="","",C769*IFERROR(INDEX(Produtos!$D$5:$D$44,MATCH(B769,Produtos!$A$5:$A$44,0)),0))</f>
        <v/>
      </c>
      <c r="H769" s="16" t="str">
        <f aca="false">IF(B769="","",F769*IFERROR(INDEX(Despesas!$B$5:$B$8,MATCH(D769,Despesas!$A$5:$A$8,0)),0))</f>
        <v/>
      </c>
      <c r="I769" s="16" t="str">
        <f aca="false">IF(B769="","",F769-G769-H769)</f>
        <v/>
      </c>
    </row>
    <row r="770" customFormat="false" ht="15" hidden="false" customHeight="false" outlineLevel="0" collapsed="false">
      <c r="A770" s="34"/>
      <c r="B770" s="30"/>
      <c r="C770" s="30"/>
      <c r="D770" s="30"/>
      <c r="E770" s="16" t="str">
        <f aca="false">IF(B770="","",IFERROR(INDEX(Produtos!$C$5:$C$44,MATCH(B770,Produtos!$A$5:$A$44,0)),0))</f>
        <v/>
      </c>
      <c r="F770" s="16" t="str">
        <f aca="false">IF(B770="","",C770*E770)</f>
        <v/>
      </c>
      <c r="G770" s="16" t="str">
        <f aca="false">IF(B770="","",C770*IFERROR(INDEX(Produtos!$D$5:$D$44,MATCH(B770,Produtos!$A$5:$A$44,0)),0))</f>
        <v/>
      </c>
      <c r="H770" s="16" t="str">
        <f aca="false">IF(B770="","",F770*IFERROR(INDEX(Despesas!$B$5:$B$8,MATCH(D770,Despesas!$A$5:$A$8,0)),0))</f>
        <v/>
      </c>
      <c r="I770" s="16" t="str">
        <f aca="false">IF(B770="","",F770-G770-H770)</f>
        <v/>
      </c>
    </row>
    <row r="771" customFormat="false" ht="15" hidden="false" customHeight="false" outlineLevel="0" collapsed="false">
      <c r="A771" s="34"/>
      <c r="B771" s="30"/>
      <c r="C771" s="30"/>
      <c r="D771" s="30"/>
      <c r="E771" s="16" t="str">
        <f aca="false">IF(B771="","",IFERROR(INDEX(Produtos!$C$5:$C$44,MATCH(B771,Produtos!$A$5:$A$44,0)),0))</f>
        <v/>
      </c>
      <c r="F771" s="16" t="str">
        <f aca="false">IF(B771="","",C771*E771)</f>
        <v/>
      </c>
      <c r="G771" s="16" t="str">
        <f aca="false">IF(B771="","",C771*IFERROR(INDEX(Produtos!$D$5:$D$44,MATCH(B771,Produtos!$A$5:$A$44,0)),0))</f>
        <v/>
      </c>
      <c r="H771" s="16" t="str">
        <f aca="false">IF(B771="","",F771*IFERROR(INDEX(Despesas!$B$5:$B$8,MATCH(D771,Despesas!$A$5:$A$8,0)),0))</f>
        <v/>
      </c>
      <c r="I771" s="16" t="str">
        <f aca="false">IF(B771="","",F771-G771-H771)</f>
        <v/>
      </c>
    </row>
    <row r="772" customFormat="false" ht="15" hidden="false" customHeight="false" outlineLevel="0" collapsed="false">
      <c r="A772" s="34"/>
      <c r="B772" s="30"/>
      <c r="C772" s="30"/>
      <c r="D772" s="30"/>
      <c r="E772" s="16" t="str">
        <f aca="false">IF(B772="","",IFERROR(INDEX(Produtos!$C$5:$C$44,MATCH(B772,Produtos!$A$5:$A$44,0)),0))</f>
        <v/>
      </c>
      <c r="F772" s="16" t="str">
        <f aca="false">IF(B772="","",C772*E772)</f>
        <v/>
      </c>
      <c r="G772" s="16" t="str">
        <f aca="false">IF(B772="","",C772*IFERROR(INDEX(Produtos!$D$5:$D$44,MATCH(B772,Produtos!$A$5:$A$44,0)),0))</f>
        <v/>
      </c>
      <c r="H772" s="16" t="str">
        <f aca="false">IF(B772="","",F772*IFERROR(INDEX(Despesas!$B$5:$B$8,MATCH(D772,Despesas!$A$5:$A$8,0)),0))</f>
        <v/>
      </c>
      <c r="I772" s="16" t="str">
        <f aca="false">IF(B772="","",F772-G772-H772)</f>
        <v/>
      </c>
    </row>
    <row r="773" customFormat="false" ht="15" hidden="false" customHeight="false" outlineLevel="0" collapsed="false">
      <c r="A773" s="34"/>
      <c r="B773" s="30"/>
      <c r="C773" s="30"/>
      <c r="D773" s="30"/>
      <c r="E773" s="16" t="str">
        <f aca="false">IF(B773="","",IFERROR(INDEX(Produtos!$C$5:$C$44,MATCH(B773,Produtos!$A$5:$A$44,0)),0))</f>
        <v/>
      </c>
      <c r="F773" s="16" t="str">
        <f aca="false">IF(B773="","",C773*E773)</f>
        <v/>
      </c>
      <c r="G773" s="16" t="str">
        <f aca="false">IF(B773="","",C773*IFERROR(INDEX(Produtos!$D$5:$D$44,MATCH(B773,Produtos!$A$5:$A$44,0)),0))</f>
        <v/>
      </c>
      <c r="H773" s="16" t="str">
        <f aca="false">IF(B773="","",F773*IFERROR(INDEX(Despesas!$B$5:$B$8,MATCH(D773,Despesas!$A$5:$A$8,0)),0))</f>
        <v/>
      </c>
      <c r="I773" s="16" t="str">
        <f aca="false">IF(B773="","",F773-G773-H773)</f>
        <v/>
      </c>
    </row>
    <row r="774" customFormat="false" ht="15" hidden="false" customHeight="false" outlineLevel="0" collapsed="false">
      <c r="A774" s="34"/>
      <c r="B774" s="30"/>
      <c r="C774" s="30"/>
      <c r="D774" s="30"/>
      <c r="E774" s="16" t="str">
        <f aca="false">IF(B774="","",IFERROR(INDEX(Produtos!$C$5:$C$44,MATCH(B774,Produtos!$A$5:$A$44,0)),0))</f>
        <v/>
      </c>
      <c r="F774" s="16" t="str">
        <f aca="false">IF(B774="","",C774*E774)</f>
        <v/>
      </c>
      <c r="G774" s="16" t="str">
        <f aca="false">IF(B774="","",C774*IFERROR(INDEX(Produtos!$D$5:$D$44,MATCH(B774,Produtos!$A$5:$A$44,0)),0))</f>
        <v/>
      </c>
      <c r="H774" s="16" t="str">
        <f aca="false">IF(B774="","",F774*IFERROR(INDEX(Despesas!$B$5:$B$8,MATCH(D774,Despesas!$A$5:$A$8,0)),0))</f>
        <v/>
      </c>
      <c r="I774" s="16" t="str">
        <f aca="false">IF(B774="","",F774-G774-H774)</f>
        <v/>
      </c>
    </row>
    <row r="775" customFormat="false" ht="15" hidden="false" customHeight="false" outlineLevel="0" collapsed="false">
      <c r="A775" s="34"/>
      <c r="B775" s="30"/>
      <c r="C775" s="30"/>
      <c r="D775" s="30"/>
      <c r="E775" s="16" t="str">
        <f aca="false">IF(B775="","",IFERROR(INDEX(Produtos!$C$5:$C$44,MATCH(B775,Produtos!$A$5:$A$44,0)),0))</f>
        <v/>
      </c>
      <c r="F775" s="16" t="str">
        <f aca="false">IF(B775="","",C775*E775)</f>
        <v/>
      </c>
      <c r="G775" s="16" t="str">
        <f aca="false">IF(B775="","",C775*IFERROR(INDEX(Produtos!$D$5:$D$44,MATCH(B775,Produtos!$A$5:$A$44,0)),0))</f>
        <v/>
      </c>
      <c r="H775" s="16" t="str">
        <f aca="false">IF(B775="","",F775*IFERROR(INDEX(Despesas!$B$5:$B$8,MATCH(D775,Despesas!$A$5:$A$8,0)),0))</f>
        <v/>
      </c>
      <c r="I775" s="16" t="str">
        <f aca="false">IF(B775="","",F775-G775-H775)</f>
        <v/>
      </c>
    </row>
    <row r="776" customFormat="false" ht="15" hidden="false" customHeight="false" outlineLevel="0" collapsed="false">
      <c r="A776" s="34"/>
      <c r="B776" s="30"/>
      <c r="C776" s="30"/>
      <c r="D776" s="30"/>
      <c r="E776" s="16" t="str">
        <f aca="false">IF(B776="","",IFERROR(INDEX(Produtos!$C$5:$C$44,MATCH(B776,Produtos!$A$5:$A$44,0)),0))</f>
        <v/>
      </c>
      <c r="F776" s="16" t="str">
        <f aca="false">IF(B776="","",C776*E776)</f>
        <v/>
      </c>
      <c r="G776" s="16" t="str">
        <f aca="false">IF(B776="","",C776*IFERROR(INDEX(Produtos!$D$5:$D$44,MATCH(B776,Produtos!$A$5:$A$44,0)),0))</f>
        <v/>
      </c>
      <c r="H776" s="16" t="str">
        <f aca="false">IF(B776="","",F776*IFERROR(INDEX(Despesas!$B$5:$B$8,MATCH(D776,Despesas!$A$5:$A$8,0)),0))</f>
        <v/>
      </c>
      <c r="I776" s="16" t="str">
        <f aca="false">IF(B776="","",F776-G776-H776)</f>
        <v/>
      </c>
    </row>
    <row r="777" customFormat="false" ht="15" hidden="false" customHeight="false" outlineLevel="0" collapsed="false">
      <c r="A777" s="34"/>
      <c r="B777" s="30"/>
      <c r="C777" s="30"/>
      <c r="D777" s="30"/>
      <c r="E777" s="16" t="str">
        <f aca="false">IF(B777="","",IFERROR(INDEX(Produtos!$C$5:$C$44,MATCH(B777,Produtos!$A$5:$A$44,0)),0))</f>
        <v/>
      </c>
      <c r="F777" s="16" t="str">
        <f aca="false">IF(B777="","",C777*E777)</f>
        <v/>
      </c>
      <c r="G777" s="16" t="str">
        <f aca="false">IF(B777="","",C777*IFERROR(INDEX(Produtos!$D$5:$D$44,MATCH(B777,Produtos!$A$5:$A$44,0)),0))</f>
        <v/>
      </c>
      <c r="H777" s="16" t="str">
        <f aca="false">IF(B777="","",F777*IFERROR(INDEX(Despesas!$B$5:$B$8,MATCH(D777,Despesas!$A$5:$A$8,0)),0))</f>
        <v/>
      </c>
      <c r="I777" s="16" t="str">
        <f aca="false">IF(B777="","",F777-G777-H777)</f>
        <v/>
      </c>
    </row>
    <row r="778" customFormat="false" ht="15" hidden="false" customHeight="false" outlineLevel="0" collapsed="false">
      <c r="A778" s="34"/>
      <c r="B778" s="30"/>
      <c r="C778" s="30"/>
      <c r="D778" s="30"/>
      <c r="E778" s="16" t="str">
        <f aca="false">IF(B778="","",IFERROR(INDEX(Produtos!$C$5:$C$44,MATCH(B778,Produtos!$A$5:$A$44,0)),0))</f>
        <v/>
      </c>
      <c r="F778" s="16" t="str">
        <f aca="false">IF(B778="","",C778*E778)</f>
        <v/>
      </c>
      <c r="G778" s="16" t="str">
        <f aca="false">IF(B778="","",C778*IFERROR(INDEX(Produtos!$D$5:$D$44,MATCH(B778,Produtos!$A$5:$A$44,0)),0))</f>
        <v/>
      </c>
      <c r="H778" s="16" t="str">
        <f aca="false">IF(B778="","",F778*IFERROR(INDEX(Despesas!$B$5:$B$8,MATCH(D778,Despesas!$A$5:$A$8,0)),0))</f>
        <v/>
      </c>
      <c r="I778" s="16" t="str">
        <f aca="false">IF(B778="","",F778-G778-H778)</f>
        <v/>
      </c>
    </row>
    <row r="779" customFormat="false" ht="15" hidden="false" customHeight="false" outlineLevel="0" collapsed="false">
      <c r="A779" s="34"/>
      <c r="B779" s="30"/>
      <c r="C779" s="30"/>
      <c r="D779" s="30"/>
      <c r="E779" s="16" t="str">
        <f aca="false">IF(B779="","",IFERROR(INDEX(Produtos!$C$5:$C$44,MATCH(B779,Produtos!$A$5:$A$44,0)),0))</f>
        <v/>
      </c>
      <c r="F779" s="16" t="str">
        <f aca="false">IF(B779="","",C779*E779)</f>
        <v/>
      </c>
      <c r="G779" s="16" t="str">
        <f aca="false">IF(B779="","",C779*IFERROR(INDEX(Produtos!$D$5:$D$44,MATCH(B779,Produtos!$A$5:$A$44,0)),0))</f>
        <v/>
      </c>
      <c r="H779" s="16" t="str">
        <f aca="false">IF(B779="","",F779*IFERROR(INDEX(Despesas!$B$5:$B$8,MATCH(D779,Despesas!$A$5:$A$8,0)),0))</f>
        <v/>
      </c>
      <c r="I779" s="16" t="str">
        <f aca="false">IF(B779="","",F779-G779-H779)</f>
        <v/>
      </c>
    </row>
    <row r="780" customFormat="false" ht="15" hidden="false" customHeight="false" outlineLevel="0" collapsed="false">
      <c r="A780" s="34"/>
      <c r="B780" s="30"/>
      <c r="C780" s="30"/>
      <c r="D780" s="30"/>
      <c r="E780" s="16" t="str">
        <f aca="false">IF(B780="","",IFERROR(INDEX(Produtos!$C$5:$C$44,MATCH(B780,Produtos!$A$5:$A$44,0)),0))</f>
        <v/>
      </c>
      <c r="F780" s="16" t="str">
        <f aca="false">IF(B780="","",C780*E780)</f>
        <v/>
      </c>
      <c r="G780" s="16" t="str">
        <f aca="false">IF(B780="","",C780*IFERROR(INDEX(Produtos!$D$5:$D$44,MATCH(B780,Produtos!$A$5:$A$44,0)),0))</f>
        <v/>
      </c>
      <c r="H780" s="16" t="str">
        <f aca="false">IF(B780="","",F780*IFERROR(INDEX(Despesas!$B$5:$B$8,MATCH(D780,Despesas!$A$5:$A$8,0)),0))</f>
        <v/>
      </c>
      <c r="I780" s="16" t="str">
        <f aca="false">IF(B780="","",F780-G780-H780)</f>
        <v/>
      </c>
    </row>
    <row r="781" customFormat="false" ht="15" hidden="false" customHeight="false" outlineLevel="0" collapsed="false">
      <c r="A781" s="34"/>
      <c r="B781" s="30"/>
      <c r="C781" s="30"/>
      <c r="D781" s="30"/>
      <c r="E781" s="16" t="str">
        <f aca="false">IF(B781="","",IFERROR(INDEX(Produtos!$C$5:$C$44,MATCH(B781,Produtos!$A$5:$A$44,0)),0))</f>
        <v/>
      </c>
      <c r="F781" s="16" t="str">
        <f aca="false">IF(B781="","",C781*E781)</f>
        <v/>
      </c>
      <c r="G781" s="16" t="str">
        <f aca="false">IF(B781="","",C781*IFERROR(INDEX(Produtos!$D$5:$D$44,MATCH(B781,Produtos!$A$5:$A$44,0)),0))</f>
        <v/>
      </c>
      <c r="H781" s="16" t="str">
        <f aca="false">IF(B781="","",F781*IFERROR(INDEX(Despesas!$B$5:$B$8,MATCH(D781,Despesas!$A$5:$A$8,0)),0))</f>
        <v/>
      </c>
      <c r="I781" s="16" t="str">
        <f aca="false">IF(B781="","",F781-G781-H781)</f>
        <v/>
      </c>
    </row>
    <row r="782" customFormat="false" ht="15" hidden="false" customHeight="false" outlineLevel="0" collapsed="false">
      <c r="A782" s="34"/>
      <c r="B782" s="30"/>
      <c r="C782" s="30"/>
      <c r="D782" s="30"/>
      <c r="E782" s="16" t="str">
        <f aca="false">IF(B782="","",IFERROR(INDEX(Produtos!$C$5:$C$44,MATCH(B782,Produtos!$A$5:$A$44,0)),0))</f>
        <v/>
      </c>
      <c r="F782" s="16" t="str">
        <f aca="false">IF(B782="","",C782*E782)</f>
        <v/>
      </c>
      <c r="G782" s="16" t="str">
        <f aca="false">IF(B782="","",C782*IFERROR(INDEX(Produtos!$D$5:$D$44,MATCH(B782,Produtos!$A$5:$A$44,0)),0))</f>
        <v/>
      </c>
      <c r="H782" s="16" t="str">
        <f aca="false">IF(B782="","",F782*IFERROR(INDEX(Despesas!$B$5:$B$8,MATCH(D782,Despesas!$A$5:$A$8,0)),0))</f>
        <v/>
      </c>
      <c r="I782" s="16" t="str">
        <f aca="false">IF(B782="","",F782-G782-H782)</f>
        <v/>
      </c>
    </row>
    <row r="783" customFormat="false" ht="15" hidden="false" customHeight="false" outlineLevel="0" collapsed="false">
      <c r="A783" s="34"/>
      <c r="B783" s="30"/>
      <c r="C783" s="30"/>
      <c r="D783" s="30"/>
      <c r="E783" s="16" t="str">
        <f aca="false">IF(B783="","",IFERROR(INDEX(Produtos!$C$5:$C$44,MATCH(B783,Produtos!$A$5:$A$44,0)),0))</f>
        <v/>
      </c>
      <c r="F783" s="16" t="str">
        <f aca="false">IF(B783="","",C783*E783)</f>
        <v/>
      </c>
      <c r="G783" s="16" t="str">
        <f aca="false">IF(B783="","",C783*IFERROR(INDEX(Produtos!$D$5:$D$44,MATCH(B783,Produtos!$A$5:$A$44,0)),0))</f>
        <v/>
      </c>
      <c r="H783" s="16" t="str">
        <f aca="false">IF(B783="","",F783*IFERROR(INDEX(Despesas!$B$5:$B$8,MATCH(D783,Despesas!$A$5:$A$8,0)),0))</f>
        <v/>
      </c>
      <c r="I783" s="16" t="str">
        <f aca="false">IF(B783="","",F783-G783-H783)</f>
        <v/>
      </c>
    </row>
    <row r="784" customFormat="false" ht="15" hidden="false" customHeight="false" outlineLevel="0" collapsed="false">
      <c r="A784" s="34"/>
      <c r="B784" s="30"/>
      <c r="C784" s="30"/>
      <c r="D784" s="30"/>
      <c r="E784" s="16" t="str">
        <f aca="false">IF(B784="","",IFERROR(INDEX(Produtos!$C$5:$C$44,MATCH(B784,Produtos!$A$5:$A$44,0)),0))</f>
        <v/>
      </c>
      <c r="F784" s="16" t="str">
        <f aca="false">IF(B784="","",C784*E784)</f>
        <v/>
      </c>
      <c r="G784" s="16" t="str">
        <f aca="false">IF(B784="","",C784*IFERROR(INDEX(Produtos!$D$5:$D$44,MATCH(B784,Produtos!$A$5:$A$44,0)),0))</f>
        <v/>
      </c>
      <c r="H784" s="16" t="str">
        <f aca="false">IF(B784="","",F784*IFERROR(INDEX(Despesas!$B$5:$B$8,MATCH(D784,Despesas!$A$5:$A$8,0)),0))</f>
        <v/>
      </c>
      <c r="I784" s="16" t="str">
        <f aca="false">IF(B784="","",F784-G784-H784)</f>
        <v/>
      </c>
    </row>
    <row r="785" customFormat="false" ht="15" hidden="false" customHeight="false" outlineLevel="0" collapsed="false">
      <c r="A785" s="34"/>
      <c r="B785" s="30"/>
      <c r="C785" s="30"/>
      <c r="D785" s="30"/>
      <c r="E785" s="16" t="str">
        <f aca="false">IF(B785="","",IFERROR(INDEX(Produtos!$C$5:$C$44,MATCH(B785,Produtos!$A$5:$A$44,0)),0))</f>
        <v/>
      </c>
      <c r="F785" s="16" t="str">
        <f aca="false">IF(B785="","",C785*E785)</f>
        <v/>
      </c>
      <c r="G785" s="16" t="str">
        <f aca="false">IF(B785="","",C785*IFERROR(INDEX(Produtos!$D$5:$D$44,MATCH(B785,Produtos!$A$5:$A$44,0)),0))</f>
        <v/>
      </c>
      <c r="H785" s="16" t="str">
        <f aca="false">IF(B785="","",F785*IFERROR(INDEX(Despesas!$B$5:$B$8,MATCH(D785,Despesas!$A$5:$A$8,0)),0))</f>
        <v/>
      </c>
      <c r="I785" s="16" t="str">
        <f aca="false">IF(B785="","",F785-G785-H785)</f>
        <v/>
      </c>
    </row>
    <row r="786" customFormat="false" ht="15" hidden="false" customHeight="false" outlineLevel="0" collapsed="false">
      <c r="A786" s="34"/>
      <c r="B786" s="30"/>
      <c r="C786" s="30"/>
      <c r="D786" s="30"/>
      <c r="E786" s="16" t="str">
        <f aca="false">IF(B786="","",IFERROR(INDEX(Produtos!$C$5:$C$44,MATCH(B786,Produtos!$A$5:$A$44,0)),0))</f>
        <v/>
      </c>
      <c r="F786" s="16" t="str">
        <f aca="false">IF(B786="","",C786*E786)</f>
        <v/>
      </c>
      <c r="G786" s="16" t="str">
        <f aca="false">IF(B786="","",C786*IFERROR(INDEX(Produtos!$D$5:$D$44,MATCH(B786,Produtos!$A$5:$A$44,0)),0))</f>
        <v/>
      </c>
      <c r="H786" s="16" t="str">
        <f aca="false">IF(B786="","",F786*IFERROR(INDEX(Despesas!$B$5:$B$8,MATCH(D786,Despesas!$A$5:$A$8,0)),0))</f>
        <v/>
      </c>
      <c r="I786" s="16" t="str">
        <f aca="false">IF(B786="","",F786-G786-H786)</f>
        <v/>
      </c>
    </row>
    <row r="787" customFormat="false" ht="15" hidden="false" customHeight="false" outlineLevel="0" collapsed="false">
      <c r="A787" s="34"/>
      <c r="B787" s="30"/>
      <c r="C787" s="30"/>
      <c r="D787" s="30"/>
      <c r="E787" s="16" t="str">
        <f aca="false">IF(B787="","",IFERROR(INDEX(Produtos!$C$5:$C$44,MATCH(B787,Produtos!$A$5:$A$44,0)),0))</f>
        <v/>
      </c>
      <c r="F787" s="16" t="str">
        <f aca="false">IF(B787="","",C787*E787)</f>
        <v/>
      </c>
      <c r="G787" s="16" t="str">
        <f aca="false">IF(B787="","",C787*IFERROR(INDEX(Produtos!$D$5:$D$44,MATCH(B787,Produtos!$A$5:$A$44,0)),0))</f>
        <v/>
      </c>
      <c r="H787" s="16" t="str">
        <f aca="false">IF(B787="","",F787*IFERROR(INDEX(Despesas!$B$5:$B$8,MATCH(D787,Despesas!$A$5:$A$8,0)),0))</f>
        <v/>
      </c>
      <c r="I787" s="16" t="str">
        <f aca="false">IF(B787="","",F787-G787-H787)</f>
        <v/>
      </c>
    </row>
    <row r="788" customFormat="false" ht="15" hidden="false" customHeight="false" outlineLevel="0" collapsed="false">
      <c r="A788" s="34"/>
      <c r="B788" s="30"/>
      <c r="C788" s="30"/>
      <c r="D788" s="30"/>
      <c r="E788" s="16" t="str">
        <f aca="false">IF(B788="","",IFERROR(INDEX(Produtos!$C$5:$C$44,MATCH(B788,Produtos!$A$5:$A$44,0)),0))</f>
        <v/>
      </c>
      <c r="F788" s="16" t="str">
        <f aca="false">IF(B788="","",C788*E788)</f>
        <v/>
      </c>
      <c r="G788" s="16" t="str">
        <f aca="false">IF(B788="","",C788*IFERROR(INDEX(Produtos!$D$5:$D$44,MATCH(B788,Produtos!$A$5:$A$44,0)),0))</f>
        <v/>
      </c>
      <c r="H788" s="16" t="str">
        <f aca="false">IF(B788="","",F788*IFERROR(INDEX(Despesas!$B$5:$B$8,MATCH(D788,Despesas!$A$5:$A$8,0)),0))</f>
        <v/>
      </c>
      <c r="I788" s="16" t="str">
        <f aca="false">IF(B788="","",F788-G788-H788)</f>
        <v/>
      </c>
    </row>
    <row r="789" customFormat="false" ht="15" hidden="false" customHeight="false" outlineLevel="0" collapsed="false">
      <c r="A789" s="34"/>
      <c r="B789" s="30"/>
      <c r="C789" s="30"/>
      <c r="D789" s="30"/>
      <c r="E789" s="16" t="str">
        <f aca="false">IF(B789="","",IFERROR(INDEX(Produtos!$C$5:$C$44,MATCH(B789,Produtos!$A$5:$A$44,0)),0))</f>
        <v/>
      </c>
      <c r="F789" s="16" t="str">
        <f aca="false">IF(B789="","",C789*E789)</f>
        <v/>
      </c>
      <c r="G789" s="16" t="str">
        <f aca="false">IF(B789="","",C789*IFERROR(INDEX(Produtos!$D$5:$D$44,MATCH(B789,Produtos!$A$5:$A$44,0)),0))</f>
        <v/>
      </c>
      <c r="H789" s="16" t="str">
        <f aca="false">IF(B789="","",F789*IFERROR(INDEX(Despesas!$B$5:$B$8,MATCH(D789,Despesas!$A$5:$A$8,0)),0))</f>
        <v/>
      </c>
      <c r="I789" s="16" t="str">
        <f aca="false">IF(B789="","",F789-G789-H789)</f>
        <v/>
      </c>
    </row>
    <row r="790" customFormat="false" ht="15" hidden="false" customHeight="false" outlineLevel="0" collapsed="false">
      <c r="A790" s="34"/>
      <c r="B790" s="30"/>
      <c r="C790" s="30"/>
      <c r="D790" s="30"/>
      <c r="E790" s="16" t="str">
        <f aca="false">IF(B790="","",IFERROR(INDEX(Produtos!$C$5:$C$44,MATCH(B790,Produtos!$A$5:$A$44,0)),0))</f>
        <v/>
      </c>
      <c r="F790" s="16" t="str">
        <f aca="false">IF(B790="","",C790*E790)</f>
        <v/>
      </c>
      <c r="G790" s="16" t="str">
        <f aca="false">IF(B790="","",C790*IFERROR(INDEX(Produtos!$D$5:$D$44,MATCH(B790,Produtos!$A$5:$A$44,0)),0))</f>
        <v/>
      </c>
      <c r="H790" s="16" t="str">
        <f aca="false">IF(B790="","",F790*IFERROR(INDEX(Despesas!$B$5:$B$8,MATCH(D790,Despesas!$A$5:$A$8,0)),0))</f>
        <v/>
      </c>
      <c r="I790" s="16" t="str">
        <f aca="false">IF(B790="","",F790-G790-H790)</f>
        <v/>
      </c>
    </row>
    <row r="791" customFormat="false" ht="15" hidden="false" customHeight="false" outlineLevel="0" collapsed="false">
      <c r="A791" s="34"/>
      <c r="B791" s="30"/>
      <c r="C791" s="30"/>
      <c r="D791" s="30"/>
      <c r="E791" s="16" t="str">
        <f aca="false">IF(B791="","",IFERROR(INDEX(Produtos!$C$5:$C$44,MATCH(B791,Produtos!$A$5:$A$44,0)),0))</f>
        <v/>
      </c>
      <c r="F791" s="16" t="str">
        <f aca="false">IF(B791="","",C791*E791)</f>
        <v/>
      </c>
      <c r="G791" s="16" t="str">
        <f aca="false">IF(B791="","",C791*IFERROR(INDEX(Produtos!$D$5:$D$44,MATCH(B791,Produtos!$A$5:$A$44,0)),0))</f>
        <v/>
      </c>
      <c r="H791" s="16" t="str">
        <f aca="false">IF(B791="","",F791*IFERROR(INDEX(Despesas!$B$5:$B$8,MATCH(D791,Despesas!$A$5:$A$8,0)),0))</f>
        <v/>
      </c>
      <c r="I791" s="16" t="str">
        <f aca="false">IF(B791="","",F791-G791-H791)</f>
        <v/>
      </c>
    </row>
    <row r="792" customFormat="false" ht="15" hidden="false" customHeight="false" outlineLevel="0" collapsed="false">
      <c r="A792" s="34"/>
      <c r="B792" s="30"/>
      <c r="C792" s="30"/>
      <c r="D792" s="30"/>
      <c r="E792" s="16" t="str">
        <f aca="false">IF(B792="","",IFERROR(INDEX(Produtos!$C$5:$C$44,MATCH(B792,Produtos!$A$5:$A$44,0)),0))</f>
        <v/>
      </c>
      <c r="F792" s="16" t="str">
        <f aca="false">IF(B792="","",C792*E792)</f>
        <v/>
      </c>
      <c r="G792" s="16" t="str">
        <f aca="false">IF(B792="","",C792*IFERROR(INDEX(Produtos!$D$5:$D$44,MATCH(B792,Produtos!$A$5:$A$44,0)),0))</f>
        <v/>
      </c>
      <c r="H792" s="16" t="str">
        <f aca="false">IF(B792="","",F792*IFERROR(INDEX(Despesas!$B$5:$B$8,MATCH(D792,Despesas!$A$5:$A$8,0)),0))</f>
        <v/>
      </c>
      <c r="I792" s="16" t="str">
        <f aca="false">IF(B792="","",F792-G792-H792)</f>
        <v/>
      </c>
    </row>
    <row r="793" customFormat="false" ht="15" hidden="false" customHeight="false" outlineLevel="0" collapsed="false">
      <c r="A793" s="34"/>
      <c r="B793" s="30"/>
      <c r="C793" s="30"/>
      <c r="D793" s="30"/>
      <c r="E793" s="16" t="str">
        <f aca="false">IF(B793="","",IFERROR(INDEX(Produtos!$C$5:$C$44,MATCH(B793,Produtos!$A$5:$A$44,0)),0))</f>
        <v/>
      </c>
      <c r="F793" s="16" t="str">
        <f aca="false">IF(B793="","",C793*E793)</f>
        <v/>
      </c>
      <c r="G793" s="16" t="str">
        <f aca="false">IF(B793="","",C793*IFERROR(INDEX(Produtos!$D$5:$D$44,MATCH(B793,Produtos!$A$5:$A$44,0)),0))</f>
        <v/>
      </c>
      <c r="H793" s="16" t="str">
        <f aca="false">IF(B793="","",F793*IFERROR(INDEX(Despesas!$B$5:$B$8,MATCH(D793,Despesas!$A$5:$A$8,0)),0))</f>
        <v/>
      </c>
      <c r="I793" s="16" t="str">
        <f aca="false">IF(B793="","",F793-G793-H793)</f>
        <v/>
      </c>
    </row>
    <row r="794" customFormat="false" ht="15" hidden="false" customHeight="false" outlineLevel="0" collapsed="false">
      <c r="A794" s="34"/>
      <c r="B794" s="30"/>
      <c r="C794" s="30"/>
      <c r="D794" s="30"/>
      <c r="E794" s="16" t="str">
        <f aca="false">IF(B794="","",IFERROR(INDEX(Produtos!$C$5:$C$44,MATCH(B794,Produtos!$A$5:$A$44,0)),0))</f>
        <v/>
      </c>
      <c r="F794" s="16" t="str">
        <f aca="false">IF(B794="","",C794*E794)</f>
        <v/>
      </c>
      <c r="G794" s="16" t="str">
        <f aca="false">IF(B794="","",C794*IFERROR(INDEX(Produtos!$D$5:$D$44,MATCH(B794,Produtos!$A$5:$A$44,0)),0))</f>
        <v/>
      </c>
      <c r="H794" s="16" t="str">
        <f aca="false">IF(B794="","",F794*IFERROR(INDEX(Despesas!$B$5:$B$8,MATCH(D794,Despesas!$A$5:$A$8,0)),0))</f>
        <v/>
      </c>
      <c r="I794" s="16" t="str">
        <f aca="false">IF(B794="","",F794-G794-H794)</f>
        <v/>
      </c>
    </row>
    <row r="795" customFormat="false" ht="15" hidden="false" customHeight="false" outlineLevel="0" collapsed="false">
      <c r="A795" s="34"/>
      <c r="B795" s="30"/>
      <c r="C795" s="30"/>
      <c r="D795" s="30"/>
      <c r="E795" s="16" t="str">
        <f aca="false">IF(B795="","",IFERROR(INDEX(Produtos!$C$5:$C$44,MATCH(B795,Produtos!$A$5:$A$44,0)),0))</f>
        <v/>
      </c>
      <c r="F795" s="16" t="str">
        <f aca="false">IF(B795="","",C795*E795)</f>
        <v/>
      </c>
      <c r="G795" s="16" t="str">
        <f aca="false">IF(B795="","",C795*IFERROR(INDEX(Produtos!$D$5:$D$44,MATCH(B795,Produtos!$A$5:$A$44,0)),0))</f>
        <v/>
      </c>
      <c r="H795" s="16" t="str">
        <f aca="false">IF(B795="","",F795*IFERROR(INDEX(Despesas!$B$5:$B$8,MATCH(D795,Despesas!$A$5:$A$8,0)),0))</f>
        <v/>
      </c>
      <c r="I795" s="16" t="str">
        <f aca="false">IF(B795="","",F795-G795-H795)</f>
        <v/>
      </c>
    </row>
    <row r="796" customFormat="false" ht="15" hidden="false" customHeight="false" outlineLevel="0" collapsed="false">
      <c r="A796" s="34"/>
      <c r="B796" s="30"/>
      <c r="C796" s="30"/>
      <c r="D796" s="30"/>
      <c r="E796" s="16" t="str">
        <f aca="false">IF(B796="","",IFERROR(INDEX(Produtos!$C$5:$C$44,MATCH(B796,Produtos!$A$5:$A$44,0)),0))</f>
        <v/>
      </c>
      <c r="F796" s="16" t="str">
        <f aca="false">IF(B796="","",C796*E796)</f>
        <v/>
      </c>
      <c r="G796" s="16" t="str">
        <f aca="false">IF(B796="","",C796*IFERROR(INDEX(Produtos!$D$5:$D$44,MATCH(B796,Produtos!$A$5:$A$44,0)),0))</f>
        <v/>
      </c>
      <c r="H796" s="16" t="str">
        <f aca="false">IF(B796="","",F796*IFERROR(INDEX(Despesas!$B$5:$B$8,MATCH(D796,Despesas!$A$5:$A$8,0)),0))</f>
        <v/>
      </c>
      <c r="I796" s="16" t="str">
        <f aca="false">IF(B796="","",F796-G796-H796)</f>
        <v/>
      </c>
    </row>
    <row r="797" customFormat="false" ht="15" hidden="false" customHeight="false" outlineLevel="0" collapsed="false">
      <c r="A797" s="34"/>
      <c r="B797" s="30"/>
      <c r="C797" s="30"/>
      <c r="D797" s="30"/>
      <c r="E797" s="16" t="str">
        <f aca="false">IF(B797="","",IFERROR(INDEX(Produtos!$C$5:$C$44,MATCH(B797,Produtos!$A$5:$A$44,0)),0))</f>
        <v/>
      </c>
      <c r="F797" s="16" t="str">
        <f aca="false">IF(B797="","",C797*E797)</f>
        <v/>
      </c>
      <c r="G797" s="16" t="str">
        <f aca="false">IF(B797="","",C797*IFERROR(INDEX(Produtos!$D$5:$D$44,MATCH(B797,Produtos!$A$5:$A$44,0)),0))</f>
        <v/>
      </c>
      <c r="H797" s="16" t="str">
        <f aca="false">IF(B797="","",F797*IFERROR(INDEX(Despesas!$B$5:$B$8,MATCH(D797,Despesas!$A$5:$A$8,0)),0))</f>
        <v/>
      </c>
      <c r="I797" s="16" t="str">
        <f aca="false">IF(B797="","",F797-G797-H797)</f>
        <v/>
      </c>
    </row>
    <row r="798" customFormat="false" ht="15" hidden="false" customHeight="false" outlineLevel="0" collapsed="false">
      <c r="A798" s="34"/>
      <c r="B798" s="30"/>
      <c r="C798" s="30"/>
      <c r="D798" s="30"/>
      <c r="E798" s="16" t="str">
        <f aca="false">IF(B798="","",IFERROR(INDEX(Produtos!$C$5:$C$44,MATCH(B798,Produtos!$A$5:$A$44,0)),0))</f>
        <v/>
      </c>
      <c r="F798" s="16" t="str">
        <f aca="false">IF(B798="","",C798*E798)</f>
        <v/>
      </c>
      <c r="G798" s="16" t="str">
        <f aca="false">IF(B798="","",C798*IFERROR(INDEX(Produtos!$D$5:$D$44,MATCH(B798,Produtos!$A$5:$A$44,0)),0))</f>
        <v/>
      </c>
      <c r="H798" s="16" t="str">
        <f aca="false">IF(B798="","",F798*IFERROR(INDEX(Despesas!$B$5:$B$8,MATCH(D798,Despesas!$A$5:$A$8,0)),0))</f>
        <v/>
      </c>
      <c r="I798" s="16" t="str">
        <f aca="false">IF(B798="","",F798-G798-H798)</f>
        <v/>
      </c>
    </row>
    <row r="799" customFormat="false" ht="15" hidden="false" customHeight="false" outlineLevel="0" collapsed="false">
      <c r="A799" s="34"/>
      <c r="B799" s="30"/>
      <c r="C799" s="30"/>
      <c r="D799" s="30"/>
      <c r="E799" s="16" t="str">
        <f aca="false">IF(B799="","",IFERROR(INDEX(Produtos!$C$5:$C$44,MATCH(B799,Produtos!$A$5:$A$44,0)),0))</f>
        <v/>
      </c>
      <c r="F799" s="16" t="str">
        <f aca="false">IF(B799="","",C799*E799)</f>
        <v/>
      </c>
      <c r="G799" s="16" t="str">
        <f aca="false">IF(B799="","",C799*IFERROR(INDEX(Produtos!$D$5:$D$44,MATCH(B799,Produtos!$A$5:$A$44,0)),0))</f>
        <v/>
      </c>
      <c r="H799" s="16" t="str">
        <f aca="false">IF(B799="","",F799*IFERROR(INDEX(Despesas!$B$5:$B$8,MATCH(D799,Despesas!$A$5:$A$8,0)),0))</f>
        <v/>
      </c>
      <c r="I799" s="16" t="str">
        <f aca="false">IF(B799="","",F799-G799-H799)</f>
        <v/>
      </c>
    </row>
    <row r="800" customFormat="false" ht="15" hidden="false" customHeight="false" outlineLevel="0" collapsed="false">
      <c r="A800" s="34"/>
      <c r="B800" s="30"/>
      <c r="C800" s="30"/>
      <c r="D800" s="30"/>
      <c r="E800" s="16" t="str">
        <f aca="false">IF(B800="","",IFERROR(INDEX(Produtos!$C$5:$C$44,MATCH(B800,Produtos!$A$5:$A$44,0)),0))</f>
        <v/>
      </c>
      <c r="F800" s="16" t="str">
        <f aca="false">IF(B800="","",C800*E800)</f>
        <v/>
      </c>
      <c r="G800" s="16" t="str">
        <f aca="false">IF(B800="","",C800*IFERROR(INDEX(Produtos!$D$5:$D$44,MATCH(B800,Produtos!$A$5:$A$44,0)),0))</f>
        <v/>
      </c>
      <c r="H800" s="16" t="str">
        <f aca="false">IF(B800="","",F800*IFERROR(INDEX(Despesas!$B$5:$B$8,MATCH(D800,Despesas!$A$5:$A$8,0)),0))</f>
        <v/>
      </c>
      <c r="I800" s="16" t="str">
        <f aca="false">IF(B800="","",F800-G800-H800)</f>
        <v/>
      </c>
    </row>
    <row r="801" customFormat="false" ht="15" hidden="false" customHeight="false" outlineLevel="0" collapsed="false">
      <c r="A801" s="34"/>
      <c r="B801" s="30"/>
      <c r="C801" s="30"/>
      <c r="D801" s="30"/>
      <c r="E801" s="16" t="str">
        <f aca="false">IF(B801="","",IFERROR(INDEX(Produtos!$C$5:$C$44,MATCH(B801,Produtos!$A$5:$A$44,0)),0))</f>
        <v/>
      </c>
      <c r="F801" s="16" t="str">
        <f aca="false">IF(B801="","",C801*E801)</f>
        <v/>
      </c>
      <c r="G801" s="16" t="str">
        <f aca="false">IF(B801="","",C801*IFERROR(INDEX(Produtos!$D$5:$D$44,MATCH(B801,Produtos!$A$5:$A$44,0)),0))</f>
        <v/>
      </c>
      <c r="H801" s="16" t="str">
        <f aca="false">IF(B801="","",F801*IFERROR(INDEX(Despesas!$B$5:$B$8,MATCH(D801,Despesas!$A$5:$A$8,0)),0))</f>
        <v/>
      </c>
      <c r="I801" s="16" t="str">
        <f aca="false">IF(B801="","",F801-G801-H801)</f>
        <v/>
      </c>
    </row>
    <row r="802" customFormat="false" ht="15" hidden="false" customHeight="false" outlineLevel="0" collapsed="false">
      <c r="A802" s="34"/>
      <c r="B802" s="30"/>
      <c r="C802" s="30"/>
      <c r="D802" s="30"/>
      <c r="E802" s="16" t="str">
        <f aca="false">IF(B802="","",IFERROR(INDEX(Produtos!$C$5:$C$44,MATCH(B802,Produtos!$A$5:$A$44,0)),0))</f>
        <v/>
      </c>
      <c r="F802" s="16" t="str">
        <f aca="false">IF(B802="","",C802*E802)</f>
        <v/>
      </c>
      <c r="G802" s="16" t="str">
        <f aca="false">IF(B802="","",C802*IFERROR(INDEX(Produtos!$D$5:$D$44,MATCH(B802,Produtos!$A$5:$A$44,0)),0))</f>
        <v/>
      </c>
      <c r="H802" s="16" t="str">
        <f aca="false">IF(B802="","",F802*IFERROR(INDEX(Despesas!$B$5:$B$8,MATCH(D802,Despesas!$A$5:$A$8,0)),0))</f>
        <v/>
      </c>
      <c r="I802" s="16" t="str">
        <f aca="false">IF(B802="","",F802-G802-H802)</f>
        <v/>
      </c>
    </row>
    <row r="803" customFormat="false" ht="15" hidden="false" customHeight="false" outlineLevel="0" collapsed="false">
      <c r="A803" s="34"/>
      <c r="B803" s="30"/>
      <c r="C803" s="30"/>
      <c r="D803" s="30"/>
      <c r="E803" s="16" t="str">
        <f aca="false">IF(B803="","",IFERROR(INDEX(Produtos!$C$5:$C$44,MATCH(B803,Produtos!$A$5:$A$44,0)),0))</f>
        <v/>
      </c>
      <c r="F803" s="16" t="str">
        <f aca="false">IF(B803="","",C803*E803)</f>
        <v/>
      </c>
      <c r="G803" s="16" t="str">
        <f aca="false">IF(B803="","",C803*IFERROR(INDEX(Produtos!$D$5:$D$44,MATCH(B803,Produtos!$A$5:$A$44,0)),0))</f>
        <v/>
      </c>
      <c r="H803" s="16" t="str">
        <f aca="false">IF(B803="","",F803*IFERROR(INDEX(Despesas!$B$5:$B$8,MATCH(D803,Despesas!$A$5:$A$8,0)),0))</f>
        <v/>
      </c>
      <c r="I803" s="16" t="str">
        <f aca="false">IF(B803="","",F803-G803-H803)</f>
        <v/>
      </c>
    </row>
    <row r="804" customFormat="false" ht="15" hidden="false" customHeight="false" outlineLevel="0" collapsed="false">
      <c r="A804" s="34"/>
      <c r="B804" s="30"/>
      <c r="C804" s="30"/>
      <c r="D804" s="30"/>
      <c r="E804" s="16" t="str">
        <f aca="false">IF(B804="","",IFERROR(INDEX(Produtos!$C$5:$C$44,MATCH(B804,Produtos!$A$5:$A$44,0)),0))</f>
        <v/>
      </c>
      <c r="F804" s="16" t="str">
        <f aca="false">IF(B804="","",C804*E804)</f>
        <v/>
      </c>
      <c r="G804" s="16" t="str">
        <f aca="false">IF(B804="","",C804*IFERROR(INDEX(Produtos!$D$5:$D$44,MATCH(B804,Produtos!$A$5:$A$44,0)),0))</f>
        <v/>
      </c>
      <c r="H804" s="16" t="str">
        <f aca="false">IF(B804="","",F804*IFERROR(INDEX(Despesas!$B$5:$B$8,MATCH(D804,Despesas!$A$5:$A$8,0)),0))</f>
        <v/>
      </c>
      <c r="I804" s="16" t="str">
        <f aca="false">IF(B804="","",F804-G804-H804)</f>
        <v/>
      </c>
    </row>
    <row r="805" customFormat="false" ht="15" hidden="false" customHeight="false" outlineLevel="0" collapsed="false">
      <c r="A805" s="34"/>
      <c r="B805" s="30"/>
      <c r="C805" s="30"/>
      <c r="D805" s="30"/>
      <c r="E805" s="16" t="str">
        <f aca="false">IF(B805="","",IFERROR(INDEX(Produtos!$C$5:$C$44,MATCH(B805,Produtos!$A$5:$A$44,0)),0))</f>
        <v/>
      </c>
      <c r="F805" s="16" t="str">
        <f aca="false">IF(B805="","",C805*E805)</f>
        <v/>
      </c>
      <c r="G805" s="16" t="str">
        <f aca="false">IF(B805="","",C805*IFERROR(INDEX(Produtos!$D$5:$D$44,MATCH(B805,Produtos!$A$5:$A$44,0)),0))</f>
        <v/>
      </c>
      <c r="H805" s="16" t="str">
        <f aca="false">IF(B805="","",F805*IFERROR(INDEX(Despesas!$B$5:$B$8,MATCH(D805,Despesas!$A$5:$A$8,0)),0))</f>
        <v/>
      </c>
      <c r="I805" s="16" t="str">
        <f aca="false">IF(B805="","",F805-G805-H805)</f>
        <v/>
      </c>
    </row>
    <row r="806" customFormat="false" ht="15" hidden="false" customHeight="false" outlineLevel="0" collapsed="false">
      <c r="A806" s="34"/>
      <c r="B806" s="30"/>
      <c r="C806" s="30"/>
      <c r="D806" s="30"/>
      <c r="E806" s="16" t="str">
        <f aca="false">IF(B806="","",IFERROR(INDEX(Produtos!$C$5:$C$44,MATCH(B806,Produtos!$A$5:$A$44,0)),0))</f>
        <v/>
      </c>
      <c r="F806" s="16" t="str">
        <f aca="false">IF(B806="","",C806*E806)</f>
        <v/>
      </c>
      <c r="G806" s="16" t="str">
        <f aca="false">IF(B806="","",C806*IFERROR(INDEX(Produtos!$D$5:$D$44,MATCH(B806,Produtos!$A$5:$A$44,0)),0))</f>
        <v/>
      </c>
      <c r="H806" s="16" t="str">
        <f aca="false">IF(B806="","",F806*IFERROR(INDEX(Despesas!$B$5:$B$8,MATCH(D806,Despesas!$A$5:$A$8,0)),0))</f>
        <v/>
      </c>
      <c r="I806" s="16" t="str">
        <f aca="false">IF(B806="","",F806-G806-H806)</f>
        <v/>
      </c>
    </row>
    <row r="807" customFormat="false" ht="15" hidden="false" customHeight="false" outlineLevel="0" collapsed="false">
      <c r="A807" s="34"/>
      <c r="B807" s="30"/>
      <c r="C807" s="30"/>
      <c r="D807" s="30"/>
      <c r="E807" s="16" t="str">
        <f aca="false">IF(B807="","",IFERROR(INDEX(Produtos!$C$5:$C$44,MATCH(B807,Produtos!$A$5:$A$44,0)),0))</f>
        <v/>
      </c>
      <c r="F807" s="16" t="str">
        <f aca="false">IF(B807="","",C807*E807)</f>
        <v/>
      </c>
      <c r="G807" s="16" t="str">
        <f aca="false">IF(B807="","",C807*IFERROR(INDEX(Produtos!$D$5:$D$44,MATCH(B807,Produtos!$A$5:$A$44,0)),0))</f>
        <v/>
      </c>
      <c r="H807" s="16" t="str">
        <f aca="false">IF(B807="","",F807*IFERROR(INDEX(Despesas!$B$5:$B$8,MATCH(D807,Despesas!$A$5:$A$8,0)),0))</f>
        <v/>
      </c>
      <c r="I807" s="16" t="str">
        <f aca="false">IF(B807="","",F807-G807-H807)</f>
        <v/>
      </c>
    </row>
    <row r="808" customFormat="false" ht="15" hidden="false" customHeight="false" outlineLevel="0" collapsed="false">
      <c r="A808" s="34"/>
      <c r="B808" s="30"/>
      <c r="C808" s="30"/>
      <c r="D808" s="30"/>
      <c r="E808" s="16" t="str">
        <f aca="false">IF(B808="","",IFERROR(INDEX(Produtos!$C$5:$C$44,MATCH(B808,Produtos!$A$5:$A$44,0)),0))</f>
        <v/>
      </c>
      <c r="F808" s="16" t="str">
        <f aca="false">IF(B808="","",C808*E808)</f>
        <v/>
      </c>
      <c r="G808" s="16" t="str">
        <f aca="false">IF(B808="","",C808*IFERROR(INDEX(Produtos!$D$5:$D$44,MATCH(B808,Produtos!$A$5:$A$44,0)),0))</f>
        <v/>
      </c>
      <c r="H808" s="16" t="str">
        <f aca="false">IF(B808="","",F808*IFERROR(INDEX(Despesas!$B$5:$B$8,MATCH(D808,Despesas!$A$5:$A$8,0)),0))</f>
        <v/>
      </c>
      <c r="I808" s="16" t="str">
        <f aca="false">IF(B808="","",F808-G808-H808)</f>
        <v/>
      </c>
    </row>
    <row r="809" customFormat="false" ht="15" hidden="false" customHeight="false" outlineLevel="0" collapsed="false">
      <c r="A809" s="34"/>
      <c r="B809" s="30"/>
      <c r="C809" s="30"/>
      <c r="D809" s="30"/>
      <c r="E809" s="16" t="str">
        <f aca="false">IF(B809="","",IFERROR(INDEX(Produtos!$C$5:$C$44,MATCH(B809,Produtos!$A$5:$A$44,0)),0))</f>
        <v/>
      </c>
      <c r="F809" s="16" t="str">
        <f aca="false">IF(B809="","",C809*E809)</f>
        <v/>
      </c>
      <c r="G809" s="16" t="str">
        <f aca="false">IF(B809="","",C809*IFERROR(INDEX(Produtos!$D$5:$D$44,MATCH(B809,Produtos!$A$5:$A$44,0)),0))</f>
        <v/>
      </c>
      <c r="H809" s="16" t="str">
        <f aca="false">IF(B809="","",F809*IFERROR(INDEX(Despesas!$B$5:$B$8,MATCH(D809,Despesas!$A$5:$A$8,0)),0))</f>
        <v/>
      </c>
      <c r="I809" s="16" t="str">
        <f aca="false">IF(B809="","",F809-G809-H809)</f>
        <v/>
      </c>
    </row>
    <row r="810" customFormat="false" ht="15" hidden="false" customHeight="false" outlineLevel="0" collapsed="false">
      <c r="A810" s="34"/>
      <c r="B810" s="30"/>
      <c r="C810" s="30"/>
      <c r="D810" s="30"/>
      <c r="E810" s="16" t="str">
        <f aca="false">IF(B810="","",IFERROR(INDEX(Produtos!$C$5:$C$44,MATCH(B810,Produtos!$A$5:$A$44,0)),0))</f>
        <v/>
      </c>
      <c r="F810" s="16" t="str">
        <f aca="false">IF(B810="","",C810*E810)</f>
        <v/>
      </c>
      <c r="G810" s="16" t="str">
        <f aca="false">IF(B810="","",C810*IFERROR(INDEX(Produtos!$D$5:$D$44,MATCH(B810,Produtos!$A$5:$A$44,0)),0))</f>
        <v/>
      </c>
      <c r="H810" s="16" t="str">
        <f aca="false">IF(B810="","",F810*IFERROR(INDEX(Despesas!$B$5:$B$8,MATCH(D810,Despesas!$A$5:$A$8,0)),0))</f>
        <v/>
      </c>
      <c r="I810" s="16" t="str">
        <f aca="false">IF(B810="","",F810-G810-H810)</f>
        <v/>
      </c>
    </row>
    <row r="811" customFormat="false" ht="15" hidden="false" customHeight="false" outlineLevel="0" collapsed="false">
      <c r="A811" s="34"/>
      <c r="B811" s="30"/>
      <c r="C811" s="30"/>
      <c r="D811" s="30"/>
      <c r="E811" s="16" t="str">
        <f aca="false">IF(B811="","",IFERROR(INDEX(Produtos!$C$5:$C$44,MATCH(B811,Produtos!$A$5:$A$44,0)),0))</f>
        <v/>
      </c>
      <c r="F811" s="16" t="str">
        <f aca="false">IF(B811="","",C811*E811)</f>
        <v/>
      </c>
      <c r="G811" s="16" t="str">
        <f aca="false">IF(B811="","",C811*IFERROR(INDEX(Produtos!$D$5:$D$44,MATCH(B811,Produtos!$A$5:$A$44,0)),0))</f>
        <v/>
      </c>
      <c r="H811" s="16" t="str">
        <f aca="false">IF(B811="","",F811*IFERROR(INDEX(Despesas!$B$5:$B$8,MATCH(D811,Despesas!$A$5:$A$8,0)),0))</f>
        <v/>
      </c>
      <c r="I811" s="16" t="str">
        <f aca="false">IF(B811="","",F811-G811-H811)</f>
        <v/>
      </c>
    </row>
    <row r="812" customFormat="false" ht="15" hidden="false" customHeight="false" outlineLevel="0" collapsed="false">
      <c r="A812" s="34"/>
      <c r="B812" s="30"/>
      <c r="C812" s="30"/>
      <c r="D812" s="30"/>
      <c r="E812" s="16" t="str">
        <f aca="false">IF(B812="","",IFERROR(INDEX(Produtos!$C$5:$C$44,MATCH(B812,Produtos!$A$5:$A$44,0)),0))</f>
        <v/>
      </c>
      <c r="F812" s="16" t="str">
        <f aca="false">IF(B812="","",C812*E812)</f>
        <v/>
      </c>
      <c r="G812" s="16" t="str">
        <f aca="false">IF(B812="","",C812*IFERROR(INDEX(Produtos!$D$5:$D$44,MATCH(B812,Produtos!$A$5:$A$44,0)),0))</f>
        <v/>
      </c>
      <c r="H812" s="16" t="str">
        <f aca="false">IF(B812="","",F812*IFERROR(INDEX(Despesas!$B$5:$B$8,MATCH(D812,Despesas!$A$5:$A$8,0)),0))</f>
        <v/>
      </c>
      <c r="I812" s="16" t="str">
        <f aca="false">IF(B812="","",F812-G812-H812)</f>
        <v/>
      </c>
    </row>
    <row r="813" customFormat="false" ht="15" hidden="false" customHeight="false" outlineLevel="0" collapsed="false">
      <c r="A813" s="34"/>
      <c r="B813" s="30"/>
      <c r="C813" s="30"/>
      <c r="D813" s="30"/>
      <c r="E813" s="16" t="str">
        <f aca="false">IF(B813="","",IFERROR(INDEX(Produtos!$C$5:$C$44,MATCH(B813,Produtos!$A$5:$A$44,0)),0))</f>
        <v/>
      </c>
      <c r="F813" s="16" t="str">
        <f aca="false">IF(B813="","",C813*E813)</f>
        <v/>
      </c>
      <c r="G813" s="16" t="str">
        <f aca="false">IF(B813="","",C813*IFERROR(INDEX(Produtos!$D$5:$D$44,MATCH(B813,Produtos!$A$5:$A$44,0)),0))</f>
        <v/>
      </c>
      <c r="H813" s="16" t="str">
        <f aca="false">IF(B813="","",F813*IFERROR(INDEX(Despesas!$B$5:$B$8,MATCH(D813,Despesas!$A$5:$A$8,0)),0))</f>
        <v/>
      </c>
      <c r="I813" s="16" t="str">
        <f aca="false">IF(B813="","",F813-G813-H813)</f>
        <v/>
      </c>
    </row>
    <row r="814" customFormat="false" ht="15" hidden="false" customHeight="false" outlineLevel="0" collapsed="false">
      <c r="A814" s="34"/>
      <c r="B814" s="30"/>
      <c r="C814" s="30"/>
      <c r="D814" s="30"/>
      <c r="E814" s="16" t="str">
        <f aca="false">IF(B814="","",IFERROR(INDEX(Produtos!$C$5:$C$44,MATCH(B814,Produtos!$A$5:$A$44,0)),0))</f>
        <v/>
      </c>
      <c r="F814" s="16" t="str">
        <f aca="false">IF(B814="","",C814*E814)</f>
        <v/>
      </c>
      <c r="G814" s="16" t="str">
        <f aca="false">IF(B814="","",C814*IFERROR(INDEX(Produtos!$D$5:$D$44,MATCH(B814,Produtos!$A$5:$A$44,0)),0))</f>
        <v/>
      </c>
      <c r="H814" s="16" t="str">
        <f aca="false">IF(B814="","",F814*IFERROR(INDEX(Despesas!$B$5:$B$8,MATCH(D814,Despesas!$A$5:$A$8,0)),0))</f>
        <v/>
      </c>
      <c r="I814" s="16" t="str">
        <f aca="false">IF(B814="","",F814-G814-H814)</f>
        <v/>
      </c>
    </row>
    <row r="815" customFormat="false" ht="15" hidden="false" customHeight="false" outlineLevel="0" collapsed="false">
      <c r="A815" s="34"/>
      <c r="B815" s="30"/>
      <c r="C815" s="30"/>
      <c r="D815" s="30"/>
      <c r="E815" s="16" t="str">
        <f aca="false">IF(B815="","",IFERROR(INDEX(Produtos!$C$5:$C$44,MATCH(B815,Produtos!$A$5:$A$44,0)),0))</f>
        <v/>
      </c>
      <c r="F815" s="16" t="str">
        <f aca="false">IF(B815="","",C815*E815)</f>
        <v/>
      </c>
      <c r="G815" s="16" t="str">
        <f aca="false">IF(B815="","",C815*IFERROR(INDEX(Produtos!$D$5:$D$44,MATCH(B815,Produtos!$A$5:$A$44,0)),0))</f>
        <v/>
      </c>
      <c r="H815" s="16" t="str">
        <f aca="false">IF(B815="","",F815*IFERROR(INDEX(Despesas!$B$5:$B$8,MATCH(D815,Despesas!$A$5:$A$8,0)),0))</f>
        <v/>
      </c>
      <c r="I815" s="16" t="str">
        <f aca="false">IF(B815="","",F815-G815-H815)</f>
        <v/>
      </c>
    </row>
    <row r="816" customFormat="false" ht="15" hidden="false" customHeight="false" outlineLevel="0" collapsed="false">
      <c r="A816" s="34"/>
      <c r="B816" s="30"/>
      <c r="C816" s="30"/>
      <c r="D816" s="30"/>
      <c r="E816" s="16" t="str">
        <f aca="false">IF(B816="","",IFERROR(INDEX(Produtos!$C$5:$C$44,MATCH(B816,Produtos!$A$5:$A$44,0)),0))</f>
        <v/>
      </c>
      <c r="F816" s="16" t="str">
        <f aca="false">IF(B816="","",C816*E816)</f>
        <v/>
      </c>
      <c r="G816" s="16" t="str">
        <f aca="false">IF(B816="","",C816*IFERROR(INDEX(Produtos!$D$5:$D$44,MATCH(B816,Produtos!$A$5:$A$44,0)),0))</f>
        <v/>
      </c>
      <c r="H816" s="16" t="str">
        <f aca="false">IF(B816="","",F816*IFERROR(INDEX(Despesas!$B$5:$B$8,MATCH(D816,Despesas!$A$5:$A$8,0)),0))</f>
        <v/>
      </c>
      <c r="I816" s="16" t="str">
        <f aca="false">IF(B816="","",F816-G816-H816)</f>
        <v/>
      </c>
    </row>
    <row r="817" customFormat="false" ht="15" hidden="false" customHeight="false" outlineLevel="0" collapsed="false">
      <c r="A817" s="34"/>
      <c r="B817" s="30"/>
      <c r="C817" s="30"/>
      <c r="D817" s="30"/>
      <c r="E817" s="16" t="str">
        <f aca="false">IF(B817="","",IFERROR(INDEX(Produtos!$C$5:$C$44,MATCH(B817,Produtos!$A$5:$A$44,0)),0))</f>
        <v/>
      </c>
      <c r="F817" s="16" t="str">
        <f aca="false">IF(B817="","",C817*E817)</f>
        <v/>
      </c>
      <c r="G817" s="16" t="str">
        <f aca="false">IF(B817="","",C817*IFERROR(INDEX(Produtos!$D$5:$D$44,MATCH(B817,Produtos!$A$5:$A$44,0)),0))</f>
        <v/>
      </c>
      <c r="H817" s="16" t="str">
        <f aca="false">IF(B817="","",F817*IFERROR(INDEX(Despesas!$B$5:$B$8,MATCH(D817,Despesas!$A$5:$A$8,0)),0))</f>
        <v/>
      </c>
      <c r="I817" s="16" t="str">
        <f aca="false">IF(B817="","",F817-G817-H817)</f>
        <v/>
      </c>
    </row>
    <row r="818" customFormat="false" ht="15" hidden="false" customHeight="false" outlineLevel="0" collapsed="false">
      <c r="A818" s="34"/>
      <c r="B818" s="30"/>
      <c r="C818" s="30"/>
      <c r="D818" s="30"/>
      <c r="E818" s="16" t="str">
        <f aca="false">IF(B818="","",IFERROR(INDEX(Produtos!$C$5:$C$44,MATCH(B818,Produtos!$A$5:$A$44,0)),0))</f>
        <v/>
      </c>
      <c r="F818" s="16" t="str">
        <f aca="false">IF(B818="","",C818*E818)</f>
        <v/>
      </c>
      <c r="G818" s="16" t="str">
        <f aca="false">IF(B818="","",C818*IFERROR(INDEX(Produtos!$D$5:$D$44,MATCH(B818,Produtos!$A$5:$A$44,0)),0))</f>
        <v/>
      </c>
      <c r="H818" s="16" t="str">
        <f aca="false">IF(B818="","",F818*IFERROR(INDEX(Despesas!$B$5:$B$8,MATCH(D818,Despesas!$A$5:$A$8,0)),0))</f>
        <v/>
      </c>
      <c r="I818" s="16" t="str">
        <f aca="false">IF(B818="","",F818-G818-H818)</f>
        <v/>
      </c>
    </row>
    <row r="819" customFormat="false" ht="15" hidden="false" customHeight="false" outlineLevel="0" collapsed="false">
      <c r="A819" s="34"/>
      <c r="B819" s="30"/>
      <c r="C819" s="30"/>
      <c r="D819" s="30"/>
      <c r="E819" s="16" t="str">
        <f aca="false">IF(B819="","",IFERROR(INDEX(Produtos!$C$5:$C$44,MATCH(B819,Produtos!$A$5:$A$44,0)),0))</f>
        <v/>
      </c>
      <c r="F819" s="16" t="str">
        <f aca="false">IF(B819="","",C819*E819)</f>
        <v/>
      </c>
      <c r="G819" s="16" t="str">
        <f aca="false">IF(B819="","",C819*IFERROR(INDEX(Produtos!$D$5:$D$44,MATCH(B819,Produtos!$A$5:$A$44,0)),0))</f>
        <v/>
      </c>
      <c r="H819" s="16" t="str">
        <f aca="false">IF(B819="","",F819*IFERROR(INDEX(Despesas!$B$5:$B$8,MATCH(D819,Despesas!$A$5:$A$8,0)),0))</f>
        <v/>
      </c>
      <c r="I819" s="16" t="str">
        <f aca="false">IF(B819="","",F819-G819-H819)</f>
        <v/>
      </c>
    </row>
    <row r="820" customFormat="false" ht="15" hidden="false" customHeight="false" outlineLevel="0" collapsed="false">
      <c r="A820" s="34"/>
      <c r="B820" s="30"/>
      <c r="C820" s="30"/>
      <c r="D820" s="30"/>
      <c r="E820" s="16" t="str">
        <f aca="false">IF(B820="","",IFERROR(INDEX(Produtos!$C$5:$C$44,MATCH(B820,Produtos!$A$5:$A$44,0)),0))</f>
        <v/>
      </c>
      <c r="F820" s="16" t="str">
        <f aca="false">IF(B820="","",C820*E820)</f>
        <v/>
      </c>
      <c r="G820" s="16" t="str">
        <f aca="false">IF(B820="","",C820*IFERROR(INDEX(Produtos!$D$5:$D$44,MATCH(B820,Produtos!$A$5:$A$44,0)),0))</f>
        <v/>
      </c>
      <c r="H820" s="16" t="str">
        <f aca="false">IF(B820="","",F820*IFERROR(INDEX(Despesas!$B$5:$B$8,MATCH(D820,Despesas!$A$5:$A$8,0)),0))</f>
        <v/>
      </c>
      <c r="I820" s="16" t="str">
        <f aca="false">IF(B820="","",F820-G820-H820)</f>
        <v/>
      </c>
    </row>
    <row r="821" customFormat="false" ht="15" hidden="false" customHeight="false" outlineLevel="0" collapsed="false">
      <c r="A821" s="34"/>
      <c r="B821" s="30"/>
      <c r="C821" s="30"/>
      <c r="D821" s="30"/>
      <c r="E821" s="16" t="str">
        <f aca="false">IF(B821="","",IFERROR(INDEX(Produtos!$C$5:$C$44,MATCH(B821,Produtos!$A$5:$A$44,0)),0))</f>
        <v/>
      </c>
      <c r="F821" s="16" t="str">
        <f aca="false">IF(B821="","",C821*E821)</f>
        <v/>
      </c>
      <c r="G821" s="16" t="str">
        <f aca="false">IF(B821="","",C821*IFERROR(INDEX(Produtos!$D$5:$D$44,MATCH(B821,Produtos!$A$5:$A$44,0)),0))</f>
        <v/>
      </c>
      <c r="H821" s="16" t="str">
        <f aca="false">IF(B821="","",F821*IFERROR(INDEX(Despesas!$B$5:$B$8,MATCH(D821,Despesas!$A$5:$A$8,0)),0))</f>
        <v/>
      </c>
      <c r="I821" s="16" t="str">
        <f aca="false">IF(B821="","",F821-G821-H821)</f>
        <v/>
      </c>
    </row>
    <row r="822" customFormat="false" ht="15" hidden="false" customHeight="false" outlineLevel="0" collapsed="false">
      <c r="A822" s="34"/>
      <c r="B822" s="30"/>
      <c r="C822" s="30"/>
      <c r="D822" s="30"/>
      <c r="E822" s="16" t="str">
        <f aca="false">IF(B822="","",IFERROR(INDEX(Produtos!$C$5:$C$44,MATCH(B822,Produtos!$A$5:$A$44,0)),0))</f>
        <v/>
      </c>
      <c r="F822" s="16" t="str">
        <f aca="false">IF(B822="","",C822*E822)</f>
        <v/>
      </c>
      <c r="G822" s="16" t="str">
        <f aca="false">IF(B822="","",C822*IFERROR(INDEX(Produtos!$D$5:$D$44,MATCH(B822,Produtos!$A$5:$A$44,0)),0))</f>
        <v/>
      </c>
      <c r="H822" s="16" t="str">
        <f aca="false">IF(B822="","",F822*IFERROR(INDEX(Despesas!$B$5:$B$8,MATCH(D822,Despesas!$A$5:$A$8,0)),0))</f>
        <v/>
      </c>
      <c r="I822" s="16" t="str">
        <f aca="false">IF(B822="","",F822-G822-H822)</f>
        <v/>
      </c>
    </row>
    <row r="823" customFormat="false" ht="15" hidden="false" customHeight="false" outlineLevel="0" collapsed="false">
      <c r="A823" s="34"/>
      <c r="B823" s="30"/>
      <c r="C823" s="30"/>
      <c r="D823" s="30"/>
      <c r="E823" s="16" t="str">
        <f aca="false">IF(B823="","",IFERROR(INDEX(Produtos!$C$5:$C$44,MATCH(B823,Produtos!$A$5:$A$44,0)),0))</f>
        <v/>
      </c>
      <c r="F823" s="16" t="str">
        <f aca="false">IF(B823="","",C823*E823)</f>
        <v/>
      </c>
      <c r="G823" s="16" t="str">
        <f aca="false">IF(B823="","",C823*IFERROR(INDEX(Produtos!$D$5:$D$44,MATCH(B823,Produtos!$A$5:$A$44,0)),0))</f>
        <v/>
      </c>
      <c r="H823" s="16" t="str">
        <f aca="false">IF(B823="","",F823*IFERROR(INDEX(Despesas!$B$5:$B$8,MATCH(D823,Despesas!$A$5:$A$8,0)),0))</f>
        <v/>
      </c>
      <c r="I823" s="16" t="str">
        <f aca="false">IF(B823="","",F823-G823-H823)</f>
        <v/>
      </c>
    </row>
    <row r="824" customFormat="false" ht="15" hidden="false" customHeight="false" outlineLevel="0" collapsed="false">
      <c r="A824" s="34"/>
      <c r="B824" s="30"/>
      <c r="C824" s="30"/>
      <c r="D824" s="30"/>
      <c r="E824" s="16" t="str">
        <f aca="false">IF(B824="","",IFERROR(INDEX(Produtos!$C$5:$C$44,MATCH(B824,Produtos!$A$5:$A$44,0)),0))</f>
        <v/>
      </c>
      <c r="F824" s="16" t="str">
        <f aca="false">IF(B824="","",C824*E824)</f>
        <v/>
      </c>
      <c r="G824" s="16" t="str">
        <f aca="false">IF(B824="","",C824*IFERROR(INDEX(Produtos!$D$5:$D$44,MATCH(B824,Produtos!$A$5:$A$44,0)),0))</f>
        <v/>
      </c>
      <c r="H824" s="16" t="str">
        <f aca="false">IF(B824="","",F824*IFERROR(INDEX(Despesas!$B$5:$B$8,MATCH(D824,Despesas!$A$5:$A$8,0)),0))</f>
        <v/>
      </c>
      <c r="I824" s="16" t="str">
        <f aca="false">IF(B824="","",F824-G824-H824)</f>
        <v/>
      </c>
    </row>
    <row r="825" customFormat="false" ht="15" hidden="false" customHeight="false" outlineLevel="0" collapsed="false">
      <c r="A825" s="34"/>
      <c r="B825" s="30"/>
      <c r="C825" s="30"/>
      <c r="D825" s="30"/>
      <c r="E825" s="16" t="str">
        <f aca="false">IF(B825="","",IFERROR(INDEX(Produtos!$C$5:$C$44,MATCH(B825,Produtos!$A$5:$A$44,0)),0))</f>
        <v/>
      </c>
      <c r="F825" s="16" t="str">
        <f aca="false">IF(B825="","",C825*E825)</f>
        <v/>
      </c>
      <c r="G825" s="16" t="str">
        <f aca="false">IF(B825="","",C825*IFERROR(INDEX(Produtos!$D$5:$D$44,MATCH(B825,Produtos!$A$5:$A$44,0)),0))</f>
        <v/>
      </c>
      <c r="H825" s="16" t="str">
        <f aca="false">IF(B825="","",F825*IFERROR(INDEX(Despesas!$B$5:$B$8,MATCH(D825,Despesas!$A$5:$A$8,0)),0))</f>
        <v/>
      </c>
      <c r="I825" s="16" t="str">
        <f aca="false">IF(B825="","",F825-G825-H825)</f>
        <v/>
      </c>
    </row>
    <row r="826" customFormat="false" ht="15" hidden="false" customHeight="false" outlineLevel="0" collapsed="false">
      <c r="A826" s="34"/>
      <c r="B826" s="30"/>
      <c r="C826" s="30"/>
      <c r="D826" s="30"/>
      <c r="E826" s="16" t="str">
        <f aca="false">IF(B826="","",IFERROR(INDEX(Produtos!$C$5:$C$44,MATCH(B826,Produtos!$A$5:$A$44,0)),0))</f>
        <v/>
      </c>
      <c r="F826" s="16" t="str">
        <f aca="false">IF(B826="","",C826*E826)</f>
        <v/>
      </c>
      <c r="G826" s="16" t="str">
        <f aca="false">IF(B826="","",C826*IFERROR(INDEX(Produtos!$D$5:$D$44,MATCH(B826,Produtos!$A$5:$A$44,0)),0))</f>
        <v/>
      </c>
      <c r="H826" s="16" t="str">
        <f aca="false">IF(B826="","",F826*IFERROR(INDEX(Despesas!$B$5:$B$8,MATCH(D826,Despesas!$A$5:$A$8,0)),0))</f>
        <v/>
      </c>
      <c r="I826" s="16" t="str">
        <f aca="false">IF(B826="","",F826-G826-H826)</f>
        <v/>
      </c>
    </row>
    <row r="827" customFormat="false" ht="15" hidden="false" customHeight="false" outlineLevel="0" collapsed="false">
      <c r="A827" s="34"/>
      <c r="B827" s="30"/>
      <c r="C827" s="30"/>
      <c r="D827" s="30"/>
      <c r="E827" s="16" t="str">
        <f aca="false">IF(B827="","",IFERROR(INDEX(Produtos!$C$5:$C$44,MATCH(B827,Produtos!$A$5:$A$44,0)),0))</f>
        <v/>
      </c>
      <c r="F827" s="16" t="str">
        <f aca="false">IF(B827="","",C827*E827)</f>
        <v/>
      </c>
      <c r="G827" s="16" t="str">
        <f aca="false">IF(B827="","",C827*IFERROR(INDEX(Produtos!$D$5:$D$44,MATCH(B827,Produtos!$A$5:$A$44,0)),0))</f>
        <v/>
      </c>
      <c r="H827" s="16" t="str">
        <f aca="false">IF(B827="","",F827*IFERROR(INDEX(Despesas!$B$5:$B$8,MATCH(D827,Despesas!$A$5:$A$8,0)),0))</f>
        <v/>
      </c>
      <c r="I827" s="16" t="str">
        <f aca="false">IF(B827="","",F827-G827-H827)</f>
        <v/>
      </c>
    </row>
    <row r="828" customFormat="false" ht="15" hidden="false" customHeight="false" outlineLevel="0" collapsed="false">
      <c r="A828" s="34"/>
      <c r="B828" s="30"/>
      <c r="C828" s="30"/>
      <c r="D828" s="30"/>
      <c r="E828" s="16" t="str">
        <f aca="false">IF(B828="","",IFERROR(INDEX(Produtos!$C$5:$C$44,MATCH(B828,Produtos!$A$5:$A$44,0)),0))</f>
        <v/>
      </c>
      <c r="F828" s="16" t="str">
        <f aca="false">IF(B828="","",C828*E828)</f>
        <v/>
      </c>
      <c r="G828" s="16" t="str">
        <f aca="false">IF(B828="","",C828*IFERROR(INDEX(Produtos!$D$5:$D$44,MATCH(B828,Produtos!$A$5:$A$44,0)),0))</f>
        <v/>
      </c>
      <c r="H828" s="16" t="str">
        <f aca="false">IF(B828="","",F828*IFERROR(INDEX(Despesas!$B$5:$B$8,MATCH(D828,Despesas!$A$5:$A$8,0)),0))</f>
        <v/>
      </c>
      <c r="I828" s="16" t="str">
        <f aca="false">IF(B828="","",F828-G828-H828)</f>
        <v/>
      </c>
    </row>
    <row r="829" customFormat="false" ht="15" hidden="false" customHeight="false" outlineLevel="0" collapsed="false">
      <c r="A829" s="34"/>
      <c r="B829" s="30"/>
      <c r="C829" s="30"/>
      <c r="D829" s="30"/>
      <c r="E829" s="16" t="str">
        <f aca="false">IF(B829="","",IFERROR(INDEX(Produtos!$C$5:$C$44,MATCH(B829,Produtos!$A$5:$A$44,0)),0))</f>
        <v/>
      </c>
      <c r="F829" s="16" t="str">
        <f aca="false">IF(B829="","",C829*E829)</f>
        <v/>
      </c>
      <c r="G829" s="16" t="str">
        <f aca="false">IF(B829="","",C829*IFERROR(INDEX(Produtos!$D$5:$D$44,MATCH(B829,Produtos!$A$5:$A$44,0)),0))</f>
        <v/>
      </c>
      <c r="H829" s="16" t="str">
        <f aca="false">IF(B829="","",F829*IFERROR(INDEX(Despesas!$B$5:$B$8,MATCH(D829,Despesas!$A$5:$A$8,0)),0))</f>
        <v/>
      </c>
      <c r="I829" s="16" t="str">
        <f aca="false">IF(B829="","",F829-G829-H829)</f>
        <v/>
      </c>
    </row>
    <row r="830" customFormat="false" ht="15" hidden="false" customHeight="false" outlineLevel="0" collapsed="false">
      <c r="A830" s="34"/>
      <c r="B830" s="30"/>
      <c r="C830" s="30"/>
      <c r="D830" s="30"/>
      <c r="E830" s="16" t="str">
        <f aca="false">IF(B830="","",IFERROR(INDEX(Produtos!$C$5:$C$44,MATCH(B830,Produtos!$A$5:$A$44,0)),0))</f>
        <v/>
      </c>
      <c r="F830" s="16" t="str">
        <f aca="false">IF(B830="","",C830*E830)</f>
        <v/>
      </c>
      <c r="G830" s="16" t="str">
        <f aca="false">IF(B830="","",C830*IFERROR(INDEX(Produtos!$D$5:$D$44,MATCH(B830,Produtos!$A$5:$A$44,0)),0))</f>
        <v/>
      </c>
      <c r="H830" s="16" t="str">
        <f aca="false">IF(B830="","",F830*IFERROR(INDEX(Despesas!$B$5:$B$8,MATCH(D830,Despesas!$A$5:$A$8,0)),0))</f>
        <v/>
      </c>
      <c r="I830" s="16" t="str">
        <f aca="false">IF(B830="","",F830-G830-H830)</f>
        <v/>
      </c>
    </row>
    <row r="831" customFormat="false" ht="15" hidden="false" customHeight="false" outlineLevel="0" collapsed="false">
      <c r="A831" s="34"/>
      <c r="B831" s="30"/>
      <c r="C831" s="30"/>
      <c r="D831" s="30"/>
      <c r="E831" s="16" t="str">
        <f aca="false">IF(B831="","",IFERROR(INDEX(Produtos!$C$5:$C$44,MATCH(B831,Produtos!$A$5:$A$44,0)),0))</f>
        <v/>
      </c>
      <c r="F831" s="16" t="str">
        <f aca="false">IF(B831="","",C831*E831)</f>
        <v/>
      </c>
      <c r="G831" s="16" t="str">
        <f aca="false">IF(B831="","",C831*IFERROR(INDEX(Produtos!$D$5:$D$44,MATCH(B831,Produtos!$A$5:$A$44,0)),0))</f>
        <v/>
      </c>
      <c r="H831" s="16" t="str">
        <f aca="false">IF(B831="","",F831*IFERROR(INDEX(Despesas!$B$5:$B$8,MATCH(D831,Despesas!$A$5:$A$8,0)),0))</f>
        <v/>
      </c>
      <c r="I831" s="16" t="str">
        <f aca="false">IF(B831="","",F831-G831-H831)</f>
        <v/>
      </c>
    </row>
    <row r="832" customFormat="false" ht="15" hidden="false" customHeight="false" outlineLevel="0" collapsed="false">
      <c r="A832" s="34"/>
      <c r="B832" s="30"/>
      <c r="C832" s="30"/>
      <c r="D832" s="30"/>
      <c r="E832" s="16" t="str">
        <f aca="false">IF(B832="","",IFERROR(INDEX(Produtos!$C$5:$C$44,MATCH(B832,Produtos!$A$5:$A$44,0)),0))</f>
        <v/>
      </c>
      <c r="F832" s="16" t="str">
        <f aca="false">IF(B832="","",C832*E832)</f>
        <v/>
      </c>
      <c r="G832" s="16" t="str">
        <f aca="false">IF(B832="","",C832*IFERROR(INDEX(Produtos!$D$5:$D$44,MATCH(B832,Produtos!$A$5:$A$44,0)),0))</f>
        <v/>
      </c>
      <c r="H832" s="16" t="str">
        <f aca="false">IF(B832="","",F832*IFERROR(INDEX(Despesas!$B$5:$B$8,MATCH(D832,Despesas!$A$5:$A$8,0)),0))</f>
        <v/>
      </c>
      <c r="I832" s="16" t="str">
        <f aca="false">IF(B832="","",F832-G832-H832)</f>
        <v/>
      </c>
    </row>
    <row r="833" customFormat="false" ht="15" hidden="false" customHeight="false" outlineLevel="0" collapsed="false">
      <c r="A833" s="34"/>
      <c r="B833" s="30"/>
      <c r="C833" s="30"/>
      <c r="D833" s="30"/>
      <c r="E833" s="16" t="str">
        <f aca="false">IF(B833="","",IFERROR(INDEX(Produtos!$C$5:$C$44,MATCH(B833,Produtos!$A$5:$A$44,0)),0))</f>
        <v/>
      </c>
      <c r="F833" s="16" t="str">
        <f aca="false">IF(B833="","",C833*E833)</f>
        <v/>
      </c>
      <c r="G833" s="16" t="str">
        <f aca="false">IF(B833="","",C833*IFERROR(INDEX(Produtos!$D$5:$D$44,MATCH(B833,Produtos!$A$5:$A$44,0)),0))</f>
        <v/>
      </c>
      <c r="H833" s="16" t="str">
        <f aca="false">IF(B833="","",F833*IFERROR(INDEX(Despesas!$B$5:$B$8,MATCH(D833,Despesas!$A$5:$A$8,0)),0))</f>
        <v/>
      </c>
      <c r="I833" s="16" t="str">
        <f aca="false">IF(B833="","",F833-G833-H833)</f>
        <v/>
      </c>
    </row>
    <row r="834" customFormat="false" ht="15" hidden="false" customHeight="false" outlineLevel="0" collapsed="false">
      <c r="A834" s="34"/>
      <c r="B834" s="30"/>
      <c r="C834" s="30"/>
      <c r="D834" s="30"/>
      <c r="E834" s="16" t="str">
        <f aca="false">IF(B834="","",IFERROR(INDEX(Produtos!$C$5:$C$44,MATCH(B834,Produtos!$A$5:$A$44,0)),0))</f>
        <v/>
      </c>
      <c r="F834" s="16" t="str">
        <f aca="false">IF(B834="","",C834*E834)</f>
        <v/>
      </c>
      <c r="G834" s="16" t="str">
        <f aca="false">IF(B834="","",C834*IFERROR(INDEX(Produtos!$D$5:$D$44,MATCH(B834,Produtos!$A$5:$A$44,0)),0))</f>
        <v/>
      </c>
      <c r="H834" s="16" t="str">
        <f aca="false">IF(B834="","",F834*IFERROR(INDEX(Despesas!$B$5:$B$8,MATCH(D834,Despesas!$A$5:$A$8,0)),0))</f>
        <v/>
      </c>
      <c r="I834" s="16" t="str">
        <f aca="false">IF(B834="","",F834-G834-H834)</f>
        <v/>
      </c>
    </row>
    <row r="835" customFormat="false" ht="15" hidden="false" customHeight="false" outlineLevel="0" collapsed="false">
      <c r="A835" s="34"/>
      <c r="B835" s="30"/>
      <c r="C835" s="30"/>
      <c r="D835" s="30"/>
      <c r="E835" s="16" t="str">
        <f aca="false">IF(B835="","",IFERROR(INDEX(Produtos!$C$5:$C$44,MATCH(B835,Produtos!$A$5:$A$44,0)),0))</f>
        <v/>
      </c>
      <c r="F835" s="16" t="str">
        <f aca="false">IF(B835="","",C835*E835)</f>
        <v/>
      </c>
      <c r="G835" s="16" t="str">
        <f aca="false">IF(B835="","",C835*IFERROR(INDEX(Produtos!$D$5:$D$44,MATCH(B835,Produtos!$A$5:$A$44,0)),0))</f>
        <v/>
      </c>
      <c r="H835" s="16" t="str">
        <f aca="false">IF(B835="","",F835*IFERROR(INDEX(Despesas!$B$5:$B$8,MATCH(D835,Despesas!$A$5:$A$8,0)),0))</f>
        <v/>
      </c>
      <c r="I835" s="16" t="str">
        <f aca="false">IF(B835="","",F835-G835-H835)</f>
        <v/>
      </c>
    </row>
    <row r="836" customFormat="false" ht="15" hidden="false" customHeight="false" outlineLevel="0" collapsed="false">
      <c r="A836" s="34"/>
      <c r="B836" s="30"/>
      <c r="C836" s="30"/>
      <c r="D836" s="30"/>
      <c r="E836" s="16" t="str">
        <f aca="false">IF(B836="","",IFERROR(INDEX(Produtos!$C$5:$C$44,MATCH(B836,Produtos!$A$5:$A$44,0)),0))</f>
        <v/>
      </c>
      <c r="F836" s="16" t="str">
        <f aca="false">IF(B836="","",C836*E836)</f>
        <v/>
      </c>
      <c r="G836" s="16" t="str">
        <f aca="false">IF(B836="","",C836*IFERROR(INDEX(Produtos!$D$5:$D$44,MATCH(B836,Produtos!$A$5:$A$44,0)),0))</f>
        <v/>
      </c>
      <c r="H836" s="16" t="str">
        <f aca="false">IF(B836="","",F836*IFERROR(INDEX(Despesas!$B$5:$B$8,MATCH(D836,Despesas!$A$5:$A$8,0)),0))</f>
        <v/>
      </c>
      <c r="I836" s="16" t="str">
        <f aca="false">IF(B836="","",F836-G836-H836)</f>
        <v/>
      </c>
    </row>
    <row r="837" customFormat="false" ht="15" hidden="false" customHeight="false" outlineLevel="0" collapsed="false">
      <c r="A837" s="34"/>
      <c r="B837" s="30"/>
      <c r="C837" s="30"/>
      <c r="D837" s="30"/>
      <c r="E837" s="16" t="str">
        <f aca="false">IF(B837="","",IFERROR(INDEX(Produtos!$C$5:$C$44,MATCH(B837,Produtos!$A$5:$A$44,0)),0))</f>
        <v/>
      </c>
      <c r="F837" s="16" t="str">
        <f aca="false">IF(B837="","",C837*E837)</f>
        <v/>
      </c>
      <c r="G837" s="16" t="str">
        <f aca="false">IF(B837="","",C837*IFERROR(INDEX(Produtos!$D$5:$D$44,MATCH(B837,Produtos!$A$5:$A$44,0)),0))</f>
        <v/>
      </c>
      <c r="H837" s="16" t="str">
        <f aca="false">IF(B837="","",F837*IFERROR(INDEX(Despesas!$B$5:$B$8,MATCH(D837,Despesas!$A$5:$A$8,0)),0))</f>
        <v/>
      </c>
      <c r="I837" s="16" t="str">
        <f aca="false">IF(B837="","",F837-G837-H837)</f>
        <v/>
      </c>
    </row>
    <row r="838" customFormat="false" ht="15" hidden="false" customHeight="false" outlineLevel="0" collapsed="false">
      <c r="A838" s="34"/>
      <c r="B838" s="30"/>
      <c r="C838" s="30"/>
      <c r="D838" s="30"/>
      <c r="E838" s="16" t="str">
        <f aca="false">IF(B838="","",IFERROR(INDEX(Produtos!$C$5:$C$44,MATCH(B838,Produtos!$A$5:$A$44,0)),0))</f>
        <v/>
      </c>
      <c r="F838" s="16" t="str">
        <f aca="false">IF(B838="","",C838*E838)</f>
        <v/>
      </c>
      <c r="G838" s="16" t="str">
        <f aca="false">IF(B838="","",C838*IFERROR(INDEX(Produtos!$D$5:$D$44,MATCH(B838,Produtos!$A$5:$A$44,0)),0))</f>
        <v/>
      </c>
      <c r="H838" s="16" t="str">
        <f aca="false">IF(B838="","",F838*IFERROR(INDEX(Despesas!$B$5:$B$8,MATCH(D838,Despesas!$A$5:$A$8,0)),0))</f>
        <v/>
      </c>
      <c r="I838" s="16" t="str">
        <f aca="false">IF(B838="","",F838-G838-H838)</f>
        <v/>
      </c>
    </row>
    <row r="839" customFormat="false" ht="15" hidden="false" customHeight="false" outlineLevel="0" collapsed="false">
      <c r="A839" s="34"/>
      <c r="B839" s="30"/>
      <c r="C839" s="30"/>
      <c r="D839" s="30"/>
      <c r="E839" s="16" t="str">
        <f aca="false">IF(B839="","",IFERROR(INDEX(Produtos!$C$5:$C$44,MATCH(B839,Produtos!$A$5:$A$44,0)),0))</f>
        <v/>
      </c>
      <c r="F839" s="16" t="str">
        <f aca="false">IF(B839="","",C839*E839)</f>
        <v/>
      </c>
      <c r="G839" s="16" t="str">
        <f aca="false">IF(B839="","",C839*IFERROR(INDEX(Produtos!$D$5:$D$44,MATCH(B839,Produtos!$A$5:$A$44,0)),0))</f>
        <v/>
      </c>
      <c r="H839" s="16" t="str">
        <f aca="false">IF(B839="","",F839*IFERROR(INDEX(Despesas!$B$5:$B$8,MATCH(D839,Despesas!$A$5:$A$8,0)),0))</f>
        <v/>
      </c>
      <c r="I839" s="16" t="str">
        <f aca="false">IF(B839="","",F839-G839-H839)</f>
        <v/>
      </c>
    </row>
    <row r="840" customFormat="false" ht="15" hidden="false" customHeight="false" outlineLevel="0" collapsed="false">
      <c r="A840" s="34"/>
      <c r="B840" s="30"/>
      <c r="C840" s="30"/>
      <c r="D840" s="30"/>
      <c r="E840" s="16" t="str">
        <f aca="false">IF(B840="","",IFERROR(INDEX(Produtos!$C$5:$C$44,MATCH(B840,Produtos!$A$5:$A$44,0)),0))</f>
        <v/>
      </c>
      <c r="F840" s="16" t="str">
        <f aca="false">IF(B840="","",C840*E840)</f>
        <v/>
      </c>
      <c r="G840" s="16" t="str">
        <f aca="false">IF(B840="","",C840*IFERROR(INDEX(Produtos!$D$5:$D$44,MATCH(B840,Produtos!$A$5:$A$44,0)),0))</f>
        <v/>
      </c>
      <c r="H840" s="16" t="str">
        <f aca="false">IF(B840="","",F840*IFERROR(INDEX(Despesas!$B$5:$B$8,MATCH(D840,Despesas!$A$5:$A$8,0)),0))</f>
        <v/>
      </c>
      <c r="I840" s="16" t="str">
        <f aca="false">IF(B840="","",F840-G840-H840)</f>
        <v/>
      </c>
    </row>
    <row r="841" customFormat="false" ht="15" hidden="false" customHeight="false" outlineLevel="0" collapsed="false">
      <c r="A841" s="34"/>
      <c r="B841" s="30"/>
      <c r="C841" s="30"/>
      <c r="D841" s="30"/>
      <c r="E841" s="16" t="str">
        <f aca="false">IF(B841="","",IFERROR(INDEX(Produtos!$C$5:$C$44,MATCH(B841,Produtos!$A$5:$A$44,0)),0))</f>
        <v/>
      </c>
      <c r="F841" s="16" t="str">
        <f aca="false">IF(B841="","",C841*E841)</f>
        <v/>
      </c>
      <c r="G841" s="16" t="str">
        <f aca="false">IF(B841="","",C841*IFERROR(INDEX(Produtos!$D$5:$D$44,MATCH(B841,Produtos!$A$5:$A$44,0)),0))</f>
        <v/>
      </c>
      <c r="H841" s="16" t="str">
        <f aca="false">IF(B841="","",F841*IFERROR(INDEX(Despesas!$B$5:$B$8,MATCH(D841,Despesas!$A$5:$A$8,0)),0))</f>
        <v/>
      </c>
      <c r="I841" s="16" t="str">
        <f aca="false">IF(B841="","",F841-G841-H841)</f>
        <v/>
      </c>
    </row>
    <row r="842" customFormat="false" ht="15" hidden="false" customHeight="false" outlineLevel="0" collapsed="false">
      <c r="A842" s="34"/>
      <c r="B842" s="30"/>
      <c r="C842" s="30"/>
      <c r="D842" s="30"/>
      <c r="E842" s="16" t="str">
        <f aca="false">IF(B842="","",IFERROR(INDEX(Produtos!$C$5:$C$44,MATCH(B842,Produtos!$A$5:$A$44,0)),0))</f>
        <v/>
      </c>
      <c r="F842" s="16" t="str">
        <f aca="false">IF(B842="","",C842*E842)</f>
        <v/>
      </c>
      <c r="G842" s="16" t="str">
        <f aca="false">IF(B842="","",C842*IFERROR(INDEX(Produtos!$D$5:$D$44,MATCH(B842,Produtos!$A$5:$A$44,0)),0))</f>
        <v/>
      </c>
      <c r="H842" s="16" t="str">
        <f aca="false">IF(B842="","",F842*IFERROR(INDEX(Despesas!$B$5:$B$8,MATCH(D842,Despesas!$A$5:$A$8,0)),0))</f>
        <v/>
      </c>
      <c r="I842" s="16" t="str">
        <f aca="false">IF(B842="","",F842-G842-H842)</f>
        <v/>
      </c>
    </row>
    <row r="843" customFormat="false" ht="15" hidden="false" customHeight="false" outlineLevel="0" collapsed="false">
      <c r="A843" s="34"/>
      <c r="B843" s="30"/>
      <c r="C843" s="30"/>
      <c r="D843" s="30"/>
      <c r="E843" s="16" t="str">
        <f aca="false">IF(B843="","",IFERROR(INDEX(Produtos!$C$5:$C$44,MATCH(B843,Produtos!$A$5:$A$44,0)),0))</f>
        <v/>
      </c>
      <c r="F843" s="16" t="str">
        <f aca="false">IF(B843="","",C843*E843)</f>
        <v/>
      </c>
      <c r="G843" s="16" t="str">
        <f aca="false">IF(B843="","",C843*IFERROR(INDEX(Produtos!$D$5:$D$44,MATCH(B843,Produtos!$A$5:$A$44,0)),0))</f>
        <v/>
      </c>
      <c r="H843" s="16" t="str">
        <f aca="false">IF(B843="","",F843*IFERROR(INDEX(Despesas!$B$5:$B$8,MATCH(D843,Despesas!$A$5:$A$8,0)),0))</f>
        <v/>
      </c>
      <c r="I843" s="16" t="str">
        <f aca="false">IF(B843="","",F843-G843-H843)</f>
        <v/>
      </c>
    </row>
    <row r="844" customFormat="false" ht="15" hidden="false" customHeight="false" outlineLevel="0" collapsed="false">
      <c r="A844" s="34"/>
      <c r="B844" s="30"/>
      <c r="C844" s="30"/>
      <c r="D844" s="30"/>
      <c r="E844" s="16" t="str">
        <f aca="false">IF(B844="","",IFERROR(INDEX(Produtos!$C$5:$C$44,MATCH(B844,Produtos!$A$5:$A$44,0)),0))</f>
        <v/>
      </c>
      <c r="F844" s="16" t="str">
        <f aca="false">IF(B844="","",C844*E844)</f>
        <v/>
      </c>
      <c r="G844" s="16" t="str">
        <f aca="false">IF(B844="","",C844*IFERROR(INDEX(Produtos!$D$5:$D$44,MATCH(B844,Produtos!$A$5:$A$44,0)),0))</f>
        <v/>
      </c>
      <c r="H844" s="16" t="str">
        <f aca="false">IF(B844="","",F844*IFERROR(INDEX(Despesas!$B$5:$B$8,MATCH(D844,Despesas!$A$5:$A$8,0)),0))</f>
        <v/>
      </c>
      <c r="I844" s="16" t="str">
        <f aca="false">IF(B844="","",F844-G844-H844)</f>
        <v/>
      </c>
    </row>
    <row r="845" customFormat="false" ht="15" hidden="false" customHeight="false" outlineLevel="0" collapsed="false">
      <c r="A845" s="34"/>
      <c r="B845" s="30"/>
      <c r="C845" s="30"/>
      <c r="D845" s="30"/>
      <c r="E845" s="16" t="str">
        <f aca="false">IF(B845="","",IFERROR(INDEX(Produtos!$C$5:$C$44,MATCH(B845,Produtos!$A$5:$A$44,0)),0))</f>
        <v/>
      </c>
      <c r="F845" s="16" t="str">
        <f aca="false">IF(B845="","",C845*E845)</f>
        <v/>
      </c>
      <c r="G845" s="16" t="str">
        <f aca="false">IF(B845="","",C845*IFERROR(INDEX(Produtos!$D$5:$D$44,MATCH(B845,Produtos!$A$5:$A$44,0)),0))</f>
        <v/>
      </c>
      <c r="H845" s="16" t="str">
        <f aca="false">IF(B845="","",F845*IFERROR(INDEX(Despesas!$B$5:$B$8,MATCH(D845,Despesas!$A$5:$A$8,0)),0))</f>
        <v/>
      </c>
      <c r="I845" s="16" t="str">
        <f aca="false">IF(B845="","",F845-G845-H845)</f>
        <v/>
      </c>
    </row>
    <row r="846" customFormat="false" ht="15" hidden="false" customHeight="false" outlineLevel="0" collapsed="false">
      <c r="A846" s="34"/>
      <c r="B846" s="30"/>
      <c r="C846" s="30"/>
      <c r="D846" s="30"/>
      <c r="E846" s="16" t="str">
        <f aca="false">IF(B846="","",IFERROR(INDEX(Produtos!$C$5:$C$44,MATCH(B846,Produtos!$A$5:$A$44,0)),0))</f>
        <v/>
      </c>
      <c r="F846" s="16" t="str">
        <f aca="false">IF(B846="","",C846*E846)</f>
        <v/>
      </c>
      <c r="G846" s="16" t="str">
        <f aca="false">IF(B846="","",C846*IFERROR(INDEX(Produtos!$D$5:$D$44,MATCH(B846,Produtos!$A$5:$A$44,0)),0))</f>
        <v/>
      </c>
      <c r="H846" s="16" t="str">
        <f aca="false">IF(B846="","",F846*IFERROR(INDEX(Despesas!$B$5:$B$8,MATCH(D846,Despesas!$A$5:$A$8,0)),0))</f>
        <v/>
      </c>
      <c r="I846" s="16" t="str">
        <f aca="false">IF(B846="","",F846-G846-H846)</f>
        <v/>
      </c>
    </row>
    <row r="847" customFormat="false" ht="15" hidden="false" customHeight="false" outlineLevel="0" collapsed="false">
      <c r="A847" s="34"/>
      <c r="B847" s="30"/>
      <c r="C847" s="30"/>
      <c r="D847" s="30"/>
      <c r="E847" s="16" t="str">
        <f aca="false">IF(B847="","",IFERROR(INDEX(Produtos!$C$5:$C$44,MATCH(B847,Produtos!$A$5:$A$44,0)),0))</f>
        <v/>
      </c>
      <c r="F847" s="16" t="str">
        <f aca="false">IF(B847="","",C847*E847)</f>
        <v/>
      </c>
      <c r="G847" s="16" t="str">
        <f aca="false">IF(B847="","",C847*IFERROR(INDEX(Produtos!$D$5:$D$44,MATCH(B847,Produtos!$A$5:$A$44,0)),0))</f>
        <v/>
      </c>
      <c r="H847" s="16" t="str">
        <f aca="false">IF(B847="","",F847*IFERROR(INDEX(Despesas!$B$5:$B$8,MATCH(D847,Despesas!$A$5:$A$8,0)),0))</f>
        <v/>
      </c>
      <c r="I847" s="16" t="str">
        <f aca="false">IF(B847="","",F847-G847-H847)</f>
        <v/>
      </c>
    </row>
    <row r="848" customFormat="false" ht="15" hidden="false" customHeight="false" outlineLevel="0" collapsed="false">
      <c r="A848" s="34"/>
      <c r="B848" s="30"/>
      <c r="C848" s="30"/>
      <c r="D848" s="30"/>
      <c r="E848" s="16" t="str">
        <f aca="false">IF(B848="","",IFERROR(INDEX(Produtos!$C$5:$C$44,MATCH(B848,Produtos!$A$5:$A$44,0)),0))</f>
        <v/>
      </c>
      <c r="F848" s="16" t="str">
        <f aca="false">IF(B848="","",C848*E848)</f>
        <v/>
      </c>
      <c r="G848" s="16" t="str">
        <f aca="false">IF(B848="","",C848*IFERROR(INDEX(Produtos!$D$5:$D$44,MATCH(B848,Produtos!$A$5:$A$44,0)),0))</f>
        <v/>
      </c>
      <c r="H848" s="16" t="str">
        <f aca="false">IF(B848="","",F848*IFERROR(INDEX(Despesas!$B$5:$B$8,MATCH(D848,Despesas!$A$5:$A$8,0)),0))</f>
        <v/>
      </c>
      <c r="I848" s="16" t="str">
        <f aca="false">IF(B848="","",F848-G848-H848)</f>
        <v/>
      </c>
    </row>
    <row r="849" customFormat="false" ht="15" hidden="false" customHeight="false" outlineLevel="0" collapsed="false">
      <c r="A849" s="34"/>
      <c r="B849" s="30"/>
      <c r="C849" s="30"/>
      <c r="D849" s="30"/>
      <c r="E849" s="16" t="str">
        <f aca="false">IF(B849="","",IFERROR(INDEX(Produtos!$C$5:$C$44,MATCH(B849,Produtos!$A$5:$A$44,0)),0))</f>
        <v/>
      </c>
      <c r="F849" s="16" t="str">
        <f aca="false">IF(B849="","",C849*E849)</f>
        <v/>
      </c>
      <c r="G849" s="16" t="str">
        <f aca="false">IF(B849="","",C849*IFERROR(INDEX(Produtos!$D$5:$D$44,MATCH(B849,Produtos!$A$5:$A$44,0)),0))</f>
        <v/>
      </c>
      <c r="H849" s="16" t="str">
        <f aca="false">IF(B849="","",F849*IFERROR(INDEX(Despesas!$B$5:$B$8,MATCH(D849,Despesas!$A$5:$A$8,0)),0))</f>
        <v/>
      </c>
      <c r="I849" s="16" t="str">
        <f aca="false">IF(B849="","",F849-G849-H849)</f>
        <v/>
      </c>
    </row>
    <row r="850" customFormat="false" ht="15" hidden="false" customHeight="false" outlineLevel="0" collapsed="false">
      <c r="A850" s="34"/>
      <c r="B850" s="30"/>
      <c r="C850" s="30"/>
      <c r="D850" s="30"/>
      <c r="E850" s="16" t="str">
        <f aca="false">IF(B850="","",IFERROR(INDEX(Produtos!$C$5:$C$44,MATCH(B850,Produtos!$A$5:$A$44,0)),0))</f>
        <v/>
      </c>
      <c r="F850" s="16" t="str">
        <f aca="false">IF(B850="","",C850*E850)</f>
        <v/>
      </c>
      <c r="G850" s="16" t="str">
        <f aca="false">IF(B850="","",C850*IFERROR(INDEX(Produtos!$D$5:$D$44,MATCH(B850,Produtos!$A$5:$A$44,0)),0))</f>
        <v/>
      </c>
      <c r="H850" s="16" t="str">
        <f aca="false">IF(B850="","",F850*IFERROR(INDEX(Despesas!$B$5:$B$8,MATCH(D850,Despesas!$A$5:$A$8,0)),0))</f>
        <v/>
      </c>
      <c r="I850" s="16" t="str">
        <f aca="false">IF(B850="","",F850-G850-H850)</f>
        <v/>
      </c>
    </row>
    <row r="851" customFormat="false" ht="15" hidden="false" customHeight="false" outlineLevel="0" collapsed="false">
      <c r="A851" s="34"/>
      <c r="B851" s="30"/>
      <c r="C851" s="30"/>
      <c r="D851" s="30"/>
      <c r="E851" s="16" t="str">
        <f aca="false">IF(B851="","",IFERROR(INDEX(Produtos!$C$5:$C$44,MATCH(B851,Produtos!$A$5:$A$44,0)),0))</f>
        <v/>
      </c>
      <c r="F851" s="16" t="str">
        <f aca="false">IF(B851="","",C851*E851)</f>
        <v/>
      </c>
      <c r="G851" s="16" t="str">
        <f aca="false">IF(B851="","",C851*IFERROR(INDEX(Produtos!$D$5:$D$44,MATCH(B851,Produtos!$A$5:$A$44,0)),0))</f>
        <v/>
      </c>
      <c r="H851" s="16" t="str">
        <f aca="false">IF(B851="","",F851*IFERROR(INDEX(Despesas!$B$5:$B$8,MATCH(D851,Despesas!$A$5:$A$8,0)),0))</f>
        <v/>
      </c>
      <c r="I851" s="16" t="str">
        <f aca="false">IF(B851="","",F851-G851-H851)</f>
        <v/>
      </c>
    </row>
    <row r="852" customFormat="false" ht="15" hidden="false" customHeight="false" outlineLevel="0" collapsed="false">
      <c r="A852" s="34"/>
      <c r="B852" s="30"/>
      <c r="C852" s="30"/>
      <c r="D852" s="30"/>
      <c r="E852" s="16" t="str">
        <f aca="false">IF(B852="","",IFERROR(INDEX(Produtos!$C$5:$C$44,MATCH(B852,Produtos!$A$5:$A$44,0)),0))</f>
        <v/>
      </c>
      <c r="F852" s="16" t="str">
        <f aca="false">IF(B852="","",C852*E852)</f>
        <v/>
      </c>
      <c r="G852" s="16" t="str">
        <f aca="false">IF(B852="","",C852*IFERROR(INDEX(Produtos!$D$5:$D$44,MATCH(B852,Produtos!$A$5:$A$44,0)),0))</f>
        <v/>
      </c>
      <c r="H852" s="16" t="str">
        <f aca="false">IF(B852="","",F852*IFERROR(INDEX(Despesas!$B$5:$B$8,MATCH(D852,Despesas!$A$5:$A$8,0)),0))</f>
        <v/>
      </c>
      <c r="I852" s="16" t="str">
        <f aca="false">IF(B852="","",F852-G852-H852)</f>
        <v/>
      </c>
    </row>
    <row r="853" customFormat="false" ht="15" hidden="false" customHeight="false" outlineLevel="0" collapsed="false">
      <c r="A853" s="34"/>
      <c r="B853" s="30"/>
      <c r="C853" s="30"/>
      <c r="D853" s="30"/>
      <c r="E853" s="16" t="str">
        <f aca="false">IF(B853="","",IFERROR(INDEX(Produtos!$C$5:$C$44,MATCH(B853,Produtos!$A$5:$A$44,0)),0))</f>
        <v/>
      </c>
      <c r="F853" s="16" t="str">
        <f aca="false">IF(B853="","",C853*E853)</f>
        <v/>
      </c>
      <c r="G853" s="16" t="str">
        <f aca="false">IF(B853="","",C853*IFERROR(INDEX(Produtos!$D$5:$D$44,MATCH(B853,Produtos!$A$5:$A$44,0)),0))</f>
        <v/>
      </c>
      <c r="H853" s="16" t="str">
        <f aca="false">IF(B853="","",F853*IFERROR(INDEX(Despesas!$B$5:$B$8,MATCH(D853,Despesas!$A$5:$A$8,0)),0))</f>
        <v/>
      </c>
      <c r="I853" s="16" t="str">
        <f aca="false">IF(B853="","",F853-G853-H853)</f>
        <v/>
      </c>
    </row>
    <row r="854" customFormat="false" ht="15" hidden="false" customHeight="false" outlineLevel="0" collapsed="false">
      <c r="A854" s="34"/>
      <c r="B854" s="30"/>
      <c r="C854" s="30"/>
      <c r="D854" s="30"/>
      <c r="E854" s="16" t="str">
        <f aca="false">IF(B854="","",IFERROR(INDEX(Produtos!$C$5:$C$44,MATCH(B854,Produtos!$A$5:$A$44,0)),0))</f>
        <v/>
      </c>
      <c r="F854" s="16" t="str">
        <f aca="false">IF(B854="","",C854*E854)</f>
        <v/>
      </c>
      <c r="G854" s="16" t="str">
        <f aca="false">IF(B854="","",C854*IFERROR(INDEX(Produtos!$D$5:$D$44,MATCH(B854,Produtos!$A$5:$A$44,0)),0))</f>
        <v/>
      </c>
      <c r="H854" s="16" t="str">
        <f aca="false">IF(B854="","",F854*IFERROR(INDEX(Despesas!$B$5:$B$8,MATCH(D854,Despesas!$A$5:$A$8,0)),0))</f>
        <v/>
      </c>
      <c r="I854" s="16" t="str">
        <f aca="false">IF(B854="","",F854-G854-H854)</f>
        <v/>
      </c>
    </row>
    <row r="855" customFormat="false" ht="15" hidden="false" customHeight="false" outlineLevel="0" collapsed="false">
      <c r="A855" s="34"/>
      <c r="B855" s="30"/>
      <c r="C855" s="30"/>
      <c r="D855" s="30"/>
      <c r="E855" s="16" t="str">
        <f aca="false">IF(B855="","",IFERROR(INDEX(Produtos!$C$5:$C$44,MATCH(B855,Produtos!$A$5:$A$44,0)),0))</f>
        <v/>
      </c>
      <c r="F855" s="16" t="str">
        <f aca="false">IF(B855="","",C855*E855)</f>
        <v/>
      </c>
      <c r="G855" s="16" t="str">
        <f aca="false">IF(B855="","",C855*IFERROR(INDEX(Produtos!$D$5:$D$44,MATCH(B855,Produtos!$A$5:$A$44,0)),0))</f>
        <v/>
      </c>
      <c r="H855" s="16" t="str">
        <f aca="false">IF(B855="","",F855*IFERROR(INDEX(Despesas!$B$5:$B$8,MATCH(D855,Despesas!$A$5:$A$8,0)),0))</f>
        <v/>
      </c>
      <c r="I855" s="16" t="str">
        <f aca="false">IF(B855="","",F855-G855-H855)</f>
        <v/>
      </c>
    </row>
    <row r="856" customFormat="false" ht="15" hidden="false" customHeight="false" outlineLevel="0" collapsed="false">
      <c r="A856" s="34"/>
      <c r="B856" s="30"/>
      <c r="C856" s="30"/>
      <c r="D856" s="30"/>
      <c r="E856" s="16" t="str">
        <f aca="false">IF(B856="","",IFERROR(INDEX(Produtos!$C$5:$C$44,MATCH(B856,Produtos!$A$5:$A$44,0)),0))</f>
        <v/>
      </c>
      <c r="F856" s="16" t="str">
        <f aca="false">IF(B856="","",C856*E856)</f>
        <v/>
      </c>
      <c r="G856" s="16" t="str">
        <f aca="false">IF(B856="","",C856*IFERROR(INDEX(Produtos!$D$5:$D$44,MATCH(B856,Produtos!$A$5:$A$44,0)),0))</f>
        <v/>
      </c>
      <c r="H856" s="16" t="str">
        <f aca="false">IF(B856="","",F856*IFERROR(INDEX(Despesas!$B$5:$B$8,MATCH(D856,Despesas!$A$5:$A$8,0)),0))</f>
        <v/>
      </c>
      <c r="I856" s="16" t="str">
        <f aca="false">IF(B856="","",F856-G856-H856)</f>
        <v/>
      </c>
    </row>
    <row r="857" customFormat="false" ht="15" hidden="false" customHeight="false" outlineLevel="0" collapsed="false">
      <c r="A857" s="34"/>
      <c r="B857" s="30"/>
      <c r="C857" s="30"/>
      <c r="D857" s="30"/>
      <c r="E857" s="16" t="str">
        <f aca="false">IF(B857="","",IFERROR(INDEX(Produtos!$C$5:$C$44,MATCH(B857,Produtos!$A$5:$A$44,0)),0))</f>
        <v/>
      </c>
      <c r="F857" s="16" t="str">
        <f aca="false">IF(B857="","",C857*E857)</f>
        <v/>
      </c>
      <c r="G857" s="16" t="str">
        <f aca="false">IF(B857="","",C857*IFERROR(INDEX(Produtos!$D$5:$D$44,MATCH(B857,Produtos!$A$5:$A$44,0)),0))</f>
        <v/>
      </c>
      <c r="H857" s="16" t="str">
        <f aca="false">IF(B857="","",F857*IFERROR(INDEX(Despesas!$B$5:$B$8,MATCH(D857,Despesas!$A$5:$A$8,0)),0))</f>
        <v/>
      </c>
      <c r="I857" s="16" t="str">
        <f aca="false">IF(B857="","",F857-G857-H857)</f>
        <v/>
      </c>
    </row>
    <row r="858" customFormat="false" ht="15" hidden="false" customHeight="false" outlineLevel="0" collapsed="false">
      <c r="A858" s="34"/>
      <c r="B858" s="30"/>
      <c r="C858" s="30"/>
      <c r="D858" s="30"/>
      <c r="E858" s="16" t="str">
        <f aca="false">IF(B858="","",IFERROR(INDEX(Produtos!$C$5:$C$44,MATCH(B858,Produtos!$A$5:$A$44,0)),0))</f>
        <v/>
      </c>
      <c r="F858" s="16" t="str">
        <f aca="false">IF(B858="","",C858*E858)</f>
        <v/>
      </c>
      <c r="G858" s="16" t="str">
        <f aca="false">IF(B858="","",C858*IFERROR(INDEX(Produtos!$D$5:$D$44,MATCH(B858,Produtos!$A$5:$A$44,0)),0))</f>
        <v/>
      </c>
      <c r="H858" s="16" t="str">
        <f aca="false">IF(B858="","",F858*IFERROR(INDEX(Despesas!$B$5:$B$8,MATCH(D858,Despesas!$A$5:$A$8,0)),0))</f>
        <v/>
      </c>
      <c r="I858" s="16" t="str">
        <f aca="false">IF(B858="","",F858-G858-H858)</f>
        <v/>
      </c>
    </row>
    <row r="859" customFormat="false" ht="15" hidden="false" customHeight="false" outlineLevel="0" collapsed="false">
      <c r="A859" s="34"/>
      <c r="B859" s="30"/>
      <c r="C859" s="30"/>
      <c r="D859" s="30"/>
      <c r="E859" s="16" t="str">
        <f aca="false">IF(B859="","",IFERROR(INDEX(Produtos!$C$5:$C$44,MATCH(B859,Produtos!$A$5:$A$44,0)),0))</f>
        <v/>
      </c>
      <c r="F859" s="16" t="str">
        <f aca="false">IF(B859="","",C859*E859)</f>
        <v/>
      </c>
      <c r="G859" s="16" t="str">
        <f aca="false">IF(B859="","",C859*IFERROR(INDEX(Produtos!$D$5:$D$44,MATCH(B859,Produtos!$A$5:$A$44,0)),0))</f>
        <v/>
      </c>
      <c r="H859" s="16" t="str">
        <f aca="false">IF(B859="","",F859*IFERROR(INDEX(Despesas!$B$5:$B$8,MATCH(D859,Despesas!$A$5:$A$8,0)),0))</f>
        <v/>
      </c>
      <c r="I859" s="16" t="str">
        <f aca="false">IF(B859="","",F859-G859-H859)</f>
        <v/>
      </c>
    </row>
    <row r="860" customFormat="false" ht="15" hidden="false" customHeight="false" outlineLevel="0" collapsed="false">
      <c r="A860" s="34"/>
      <c r="B860" s="30"/>
      <c r="C860" s="30"/>
      <c r="D860" s="30"/>
      <c r="E860" s="16" t="str">
        <f aca="false">IF(B860="","",IFERROR(INDEX(Produtos!$C$5:$C$44,MATCH(B860,Produtos!$A$5:$A$44,0)),0))</f>
        <v/>
      </c>
      <c r="F860" s="16" t="str">
        <f aca="false">IF(B860="","",C860*E860)</f>
        <v/>
      </c>
      <c r="G860" s="16" t="str">
        <f aca="false">IF(B860="","",C860*IFERROR(INDEX(Produtos!$D$5:$D$44,MATCH(B860,Produtos!$A$5:$A$44,0)),0))</f>
        <v/>
      </c>
      <c r="H860" s="16" t="str">
        <f aca="false">IF(B860="","",F860*IFERROR(INDEX(Despesas!$B$5:$B$8,MATCH(D860,Despesas!$A$5:$A$8,0)),0))</f>
        <v/>
      </c>
      <c r="I860" s="16" t="str">
        <f aca="false">IF(B860="","",F860-G860-H860)</f>
        <v/>
      </c>
    </row>
    <row r="861" customFormat="false" ht="15" hidden="false" customHeight="false" outlineLevel="0" collapsed="false">
      <c r="A861" s="34"/>
      <c r="B861" s="30"/>
      <c r="C861" s="30"/>
      <c r="D861" s="30"/>
      <c r="E861" s="16" t="str">
        <f aca="false">IF(B861="","",IFERROR(INDEX(Produtos!$C$5:$C$44,MATCH(B861,Produtos!$A$5:$A$44,0)),0))</f>
        <v/>
      </c>
      <c r="F861" s="16" t="str">
        <f aca="false">IF(B861="","",C861*E861)</f>
        <v/>
      </c>
      <c r="G861" s="16" t="str">
        <f aca="false">IF(B861="","",C861*IFERROR(INDEX(Produtos!$D$5:$D$44,MATCH(B861,Produtos!$A$5:$A$44,0)),0))</f>
        <v/>
      </c>
      <c r="H861" s="16" t="str">
        <f aca="false">IF(B861="","",F861*IFERROR(INDEX(Despesas!$B$5:$B$8,MATCH(D861,Despesas!$A$5:$A$8,0)),0))</f>
        <v/>
      </c>
      <c r="I861" s="16" t="str">
        <f aca="false">IF(B861="","",F861-G861-H861)</f>
        <v/>
      </c>
    </row>
    <row r="862" customFormat="false" ht="15" hidden="false" customHeight="false" outlineLevel="0" collapsed="false">
      <c r="A862" s="34"/>
      <c r="B862" s="30"/>
      <c r="C862" s="30"/>
      <c r="D862" s="30"/>
      <c r="E862" s="16" t="str">
        <f aca="false">IF(B862="","",IFERROR(INDEX(Produtos!$C$5:$C$44,MATCH(B862,Produtos!$A$5:$A$44,0)),0))</f>
        <v/>
      </c>
      <c r="F862" s="16" t="str">
        <f aca="false">IF(B862="","",C862*E862)</f>
        <v/>
      </c>
      <c r="G862" s="16" t="str">
        <f aca="false">IF(B862="","",C862*IFERROR(INDEX(Produtos!$D$5:$D$44,MATCH(B862,Produtos!$A$5:$A$44,0)),0))</f>
        <v/>
      </c>
      <c r="H862" s="16" t="str">
        <f aca="false">IF(B862="","",F862*IFERROR(INDEX(Despesas!$B$5:$B$8,MATCH(D862,Despesas!$A$5:$A$8,0)),0))</f>
        <v/>
      </c>
      <c r="I862" s="16" t="str">
        <f aca="false">IF(B862="","",F862-G862-H862)</f>
        <v/>
      </c>
    </row>
    <row r="863" customFormat="false" ht="15" hidden="false" customHeight="false" outlineLevel="0" collapsed="false">
      <c r="A863" s="34"/>
      <c r="B863" s="30"/>
      <c r="C863" s="30"/>
      <c r="D863" s="30"/>
      <c r="E863" s="16" t="str">
        <f aca="false">IF(B863="","",IFERROR(INDEX(Produtos!$C$5:$C$44,MATCH(B863,Produtos!$A$5:$A$44,0)),0))</f>
        <v/>
      </c>
      <c r="F863" s="16" t="str">
        <f aca="false">IF(B863="","",C863*E863)</f>
        <v/>
      </c>
      <c r="G863" s="16" t="str">
        <f aca="false">IF(B863="","",C863*IFERROR(INDEX(Produtos!$D$5:$D$44,MATCH(B863,Produtos!$A$5:$A$44,0)),0))</f>
        <v/>
      </c>
      <c r="H863" s="16" t="str">
        <f aca="false">IF(B863="","",F863*IFERROR(INDEX(Despesas!$B$5:$B$8,MATCH(D863,Despesas!$A$5:$A$8,0)),0))</f>
        <v/>
      </c>
      <c r="I863" s="16" t="str">
        <f aca="false">IF(B863="","",F863-G863-H863)</f>
        <v/>
      </c>
    </row>
    <row r="864" customFormat="false" ht="15" hidden="false" customHeight="false" outlineLevel="0" collapsed="false">
      <c r="A864" s="34"/>
      <c r="B864" s="30"/>
      <c r="C864" s="30"/>
      <c r="D864" s="30"/>
      <c r="E864" s="16" t="str">
        <f aca="false">IF(B864="","",IFERROR(INDEX(Produtos!$C$5:$C$44,MATCH(B864,Produtos!$A$5:$A$44,0)),0))</f>
        <v/>
      </c>
      <c r="F864" s="16" t="str">
        <f aca="false">IF(B864="","",C864*E864)</f>
        <v/>
      </c>
      <c r="G864" s="16" t="str">
        <f aca="false">IF(B864="","",C864*IFERROR(INDEX(Produtos!$D$5:$D$44,MATCH(B864,Produtos!$A$5:$A$44,0)),0))</f>
        <v/>
      </c>
      <c r="H864" s="16" t="str">
        <f aca="false">IF(B864="","",F864*IFERROR(INDEX(Despesas!$B$5:$B$8,MATCH(D864,Despesas!$A$5:$A$8,0)),0))</f>
        <v/>
      </c>
      <c r="I864" s="16" t="str">
        <f aca="false">IF(B864="","",F864-G864-H864)</f>
        <v/>
      </c>
    </row>
    <row r="865" customFormat="false" ht="15" hidden="false" customHeight="false" outlineLevel="0" collapsed="false">
      <c r="A865" s="34"/>
      <c r="B865" s="30"/>
      <c r="C865" s="30"/>
      <c r="D865" s="30"/>
      <c r="E865" s="16" t="str">
        <f aca="false">IF(B865="","",IFERROR(INDEX(Produtos!$C$5:$C$44,MATCH(B865,Produtos!$A$5:$A$44,0)),0))</f>
        <v/>
      </c>
      <c r="F865" s="16" t="str">
        <f aca="false">IF(B865="","",C865*E865)</f>
        <v/>
      </c>
      <c r="G865" s="16" t="str">
        <f aca="false">IF(B865="","",C865*IFERROR(INDEX(Produtos!$D$5:$D$44,MATCH(B865,Produtos!$A$5:$A$44,0)),0))</f>
        <v/>
      </c>
      <c r="H865" s="16" t="str">
        <f aca="false">IF(B865="","",F865*IFERROR(INDEX(Despesas!$B$5:$B$8,MATCH(D865,Despesas!$A$5:$A$8,0)),0))</f>
        <v/>
      </c>
      <c r="I865" s="16" t="str">
        <f aca="false">IF(B865="","",F865-G865-H865)</f>
        <v/>
      </c>
    </row>
    <row r="866" customFormat="false" ht="15" hidden="false" customHeight="false" outlineLevel="0" collapsed="false">
      <c r="A866" s="34"/>
      <c r="B866" s="30"/>
      <c r="C866" s="30"/>
      <c r="D866" s="30"/>
      <c r="E866" s="16" t="str">
        <f aca="false">IF(B866="","",IFERROR(INDEX(Produtos!$C$5:$C$44,MATCH(B866,Produtos!$A$5:$A$44,0)),0))</f>
        <v/>
      </c>
      <c r="F866" s="16" t="str">
        <f aca="false">IF(B866="","",C866*E866)</f>
        <v/>
      </c>
      <c r="G866" s="16" t="str">
        <f aca="false">IF(B866="","",C866*IFERROR(INDEX(Produtos!$D$5:$D$44,MATCH(B866,Produtos!$A$5:$A$44,0)),0))</f>
        <v/>
      </c>
      <c r="H866" s="16" t="str">
        <f aca="false">IF(B866="","",F866*IFERROR(INDEX(Despesas!$B$5:$B$8,MATCH(D866,Despesas!$A$5:$A$8,0)),0))</f>
        <v/>
      </c>
      <c r="I866" s="16" t="str">
        <f aca="false">IF(B866="","",F866-G866-H866)</f>
        <v/>
      </c>
    </row>
    <row r="867" customFormat="false" ht="15" hidden="false" customHeight="false" outlineLevel="0" collapsed="false">
      <c r="A867" s="34"/>
      <c r="B867" s="30"/>
      <c r="C867" s="30"/>
      <c r="D867" s="30"/>
      <c r="E867" s="16" t="str">
        <f aca="false">IF(B867="","",IFERROR(INDEX(Produtos!$C$5:$C$44,MATCH(B867,Produtos!$A$5:$A$44,0)),0))</f>
        <v/>
      </c>
      <c r="F867" s="16" t="str">
        <f aca="false">IF(B867="","",C867*E867)</f>
        <v/>
      </c>
      <c r="G867" s="16" t="str">
        <f aca="false">IF(B867="","",C867*IFERROR(INDEX(Produtos!$D$5:$D$44,MATCH(B867,Produtos!$A$5:$A$44,0)),0))</f>
        <v/>
      </c>
      <c r="H867" s="16" t="str">
        <f aca="false">IF(B867="","",F867*IFERROR(INDEX(Despesas!$B$5:$B$8,MATCH(D867,Despesas!$A$5:$A$8,0)),0))</f>
        <v/>
      </c>
      <c r="I867" s="16" t="str">
        <f aca="false">IF(B867="","",F867-G867-H867)</f>
        <v/>
      </c>
    </row>
    <row r="868" customFormat="false" ht="15" hidden="false" customHeight="false" outlineLevel="0" collapsed="false">
      <c r="A868" s="34"/>
      <c r="B868" s="30"/>
      <c r="C868" s="30"/>
      <c r="D868" s="30"/>
      <c r="E868" s="16" t="str">
        <f aca="false">IF(B868="","",IFERROR(INDEX(Produtos!$C$5:$C$44,MATCH(B868,Produtos!$A$5:$A$44,0)),0))</f>
        <v/>
      </c>
      <c r="F868" s="16" t="str">
        <f aca="false">IF(B868="","",C868*E868)</f>
        <v/>
      </c>
      <c r="G868" s="16" t="str">
        <f aca="false">IF(B868="","",C868*IFERROR(INDEX(Produtos!$D$5:$D$44,MATCH(B868,Produtos!$A$5:$A$44,0)),0))</f>
        <v/>
      </c>
      <c r="H868" s="16" t="str">
        <f aca="false">IF(B868="","",F868*IFERROR(INDEX(Despesas!$B$5:$B$8,MATCH(D868,Despesas!$A$5:$A$8,0)),0))</f>
        <v/>
      </c>
      <c r="I868" s="16" t="str">
        <f aca="false">IF(B868="","",F868-G868-H868)</f>
        <v/>
      </c>
    </row>
    <row r="869" customFormat="false" ht="15" hidden="false" customHeight="false" outlineLevel="0" collapsed="false">
      <c r="A869" s="34"/>
      <c r="B869" s="30"/>
      <c r="C869" s="30"/>
      <c r="D869" s="30"/>
      <c r="E869" s="16" t="str">
        <f aca="false">IF(B869="","",IFERROR(INDEX(Produtos!$C$5:$C$44,MATCH(B869,Produtos!$A$5:$A$44,0)),0))</f>
        <v/>
      </c>
      <c r="F869" s="16" t="str">
        <f aca="false">IF(B869="","",C869*E869)</f>
        <v/>
      </c>
      <c r="G869" s="16" t="str">
        <f aca="false">IF(B869="","",C869*IFERROR(INDEX(Produtos!$D$5:$D$44,MATCH(B869,Produtos!$A$5:$A$44,0)),0))</f>
        <v/>
      </c>
      <c r="H869" s="16" t="str">
        <f aca="false">IF(B869="","",F869*IFERROR(INDEX(Despesas!$B$5:$B$8,MATCH(D869,Despesas!$A$5:$A$8,0)),0))</f>
        <v/>
      </c>
      <c r="I869" s="16" t="str">
        <f aca="false">IF(B869="","",F869-G869-H869)</f>
        <v/>
      </c>
    </row>
    <row r="870" customFormat="false" ht="15" hidden="false" customHeight="false" outlineLevel="0" collapsed="false">
      <c r="A870" s="34"/>
      <c r="B870" s="30"/>
      <c r="C870" s="30"/>
      <c r="D870" s="30"/>
      <c r="E870" s="16" t="str">
        <f aca="false">IF(B870="","",IFERROR(INDEX(Produtos!$C$5:$C$44,MATCH(B870,Produtos!$A$5:$A$44,0)),0))</f>
        <v/>
      </c>
      <c r="F870" s="16" t="str">
        <f aca="false">IF(B870="","",C870*E870)</f>
        <v/>
      </c>
      <c r="G870" s="16" t="str">
        <f aca="false">IF(B870="","",C870*IFERROR(INDEX(Produtos!$D$5:$D$44,MATCH(B870,Produtos!$A$5:$A$44,0)),0))</f>
        <v/>
      </c>
      <c r="H870" s="16" t="str">
        <f aca="false">IF(B870="","",F870*IFERROR(INDEX(Despesas!$B$5:$B$8,MATCH(D870,Despesas!$A$5:$A$8,0)),0))</f>
        <v/>
      </c>
      <c r="I870" s="16" t="str">
        <f aca="false">IF(B870="","",F870-G870-H870)</f>
        <v/>
      </c>
    </row>
    <row r="871" customFormat="false" ht="15" hidden="false" customHeight="false" outlineLevel="0" collapsed="false">
      <c r="A871" s="34"/>
      <c r="B871" s="30"/>
      <c r="C871" s="30"/>
      <c r="D871" s="30"/>
      <c r="E871" s="16" t="str">
        <f aca="false">IF(B871="","",IFERROR(INDEX(Produtos!$C$5:$C$44,MATCH(B871,Produtos!$A$5:$A$44,0)),0))</f>
        <v/>
      </c>
      <c r="F871" s="16" t="str">
        <f aca="false">IF(B871="","",C871*E871)</f>
        <v/>
      </c>
      <c r="G871" s="16" t="str">
        <f aca="false">IF(B871="","",C871*IFERROR(INDEX(Produtos!$D$5:$D$44,MATCH(B871,Produtos!$A$5:$A$44,0)),0))</f>
        <v/>
      </c>
      <c r="H871" s="16" t="str">
        <f aca="false">IF(B871="","",F871*IFERROR(INDEX(Despesas!$B$5:$B$8,MATCH(D871,Despesas!$A$5:$A$8,0)),0))</f>
        <v/>
      </c>
      <c r="I871" s="16" t="str">
        <f aca="false">IF(B871="","",F871-G871-H871)</f>
        <v/>
      </c>
    </row>
    <row r="872" customFormat="false" ht="15" hidden="false" customHeight="false" outlineLevel="0" collapsed="false">
      <c r="A872" s="34"/>
      <c r="B872" s="30"/>
      <c r="C872" s="30"/>
      <c r="D872" s="30"/>
      <c r="E872" s="16" t="str">
        <f aca="false">IF(B872="","",IFERROR(INDEX(Produtos!$C$5:$C$44,MATCH(B872,Produtos!$A$5:$A$44,0)),0))</f>
        <v/>
      </c>
      <c r="F872" s="16" t="str">
        <f aca="false">IF(B872="","",C872*E872)</f>
        <v/>
      </c>
      <c r="G872" s="16" t="str">
        <f aca="false">IF(B872="","",C872*IFERROR(INDEX(Produtos!$D$5:$D$44,MATCH(B872,Produtos!$A$5:$A$44,0)),0))</f>
        <v/>
      </c>
      <c r="H872" s="16" t="str">
        <f aca="false">IF(B872="","",F872*IFERROR(INDEX(Despesas!$B$5:$B$8,MATCH(D872,Despesas!$A$5:$A$8,0)),0))</f>
        <v/>
      </c>
      <c r="I872" s="16" t="str">
        <f aca="false">IF(B872="","",F872-G872-H872)</f>
        <v/>
      </c>
    </row>
    <row r="873" customFormat="false" ht="15" hidden="false" customHeight="false" outlineLevel="0" collapsed="false">
      <c r="A873" s="34"/>
      <c r="B873" s="30"/>
      <c r="C873" s="30"/>
      <c r="D873" s="30"/>
      <c r="E873" s="16" t="str">
        <f aca="false">IF(B873="","",IFERROR(INDEX(Produtos!$C$5:$C$44,MATCH(B873,Produtos!$A$5:$A$44,0)),0))</f>
        <v/>
      </c>
      <c r="F873" s="16" t="str">
        <f aca="false">IF(B873="","",C873*E873)</f>
        <v/>
      </c>
      <c r="G873" s="16" t="str">
        <f aca="false">IF(B873="","",C873*IFERROR(INDEX(Produtos!$D$5:$D$44,MATCH(B873,Produtos!$A$5:$A$44,0)),0))</f>
        <v/>
      </c>
      <c r="H873" s="16" t="str">
        <f aca="false">IF(B873="","",F873*IFERROR(INDEX(Despesas!$B$5:$B$8,MATCH(D873,Despesas!$A$5:$A$8,0)),0))</f>
        <v/>
      </c>
      <c r="I873" s="16" t="str">
        <f aca="false">IF(B873="","",F873-G873-H873)</f>
        <v/>
      </c>
    </row>
    <row r="874" customFormat="false" ht="15" hidden="false" customHeight="false" outlineLevel="0" collapsed="false">
      <c r="A874" s="34"/>
      <c r="B874" s="30"/>
      <c r="C874" s="30"/>
      <c r="D874" s="30"/>
      <c r="E874" s="16" t="str">
        <f aca="false">IF(B874="","",IFERROR(INDEX(Produtos!$C$5:$C$44,MATCH(B874,Produtos!$A$5:$A$44,0)),0))</f>
        <v/>
      </c>
      <c r="F874" s="16" t="str">
        <f aca="false">IF(B874="","",C874*E874)</f>
        <v/>
      </c>
      <c r="G874" s="16" t="str">
        <f aca="false">IF(B874="","",C874*IFERROR(INDEX(Produtos!$D$5:$D$44,MATCH(B874,Produtos!$A$5:$A$44,0)),0))</f>
        <v/>
      </c>
      <c r="H874" s="16" t="str">
        <f aca="false">IF(B874="","",F874*IFERROR(INDEX(Despesas!$B$5:$B$8,MATCH(D874,Despesas!$A$5:$A$8,0)),0))</f>
        <v/>
      </c>
      <c r="I874" s="16" t="str">
        <f aca="false">IF(B874="","",F874-G874-H874)</f>
        <v/>
      </c>
    </row>
    <row r="875" customFormat="false" ht="15" hidden="false" customHeight="false" outlineLevel="0" collapsed="false">
      <c r="A875" s="34"/>
      <c r="B875" s="30"/>
      <c r="C875" s="30"/>
      <c r="D875" s="30"/>
      <c r="E875" s="16" t="str">
        <f aca="false">IF(B875="","",IFERROR(INDEX(Produtos!$C$5:$C$44,MATCH(B875,Produtos!$A$5:$A$44,0)),0))</f>
        <v/>
      </c>
      <c r="F875" s="16" t="str">
        <f aca="false">IF(B875="","",C875*E875)</f>
        <v/>
      </c>
      <c r="G875" s="16" t="str">
        <f aca="false">IF(B875="","",C875*IFERROR(INDEX(Produtos!$D$5:$D$44,MATCH(B875,Produtos!$A$5:$A$44,0)),0))</f>
        <v/>
      </c>
      <c r="H875" s="16" t="str">
        <f aca="false">IF(B875="","",F875*IFERROR(INDEX(Despesas!$B$5:$B$8,MATCH(D875,Despesas!$A$5:$A$8,0)),0))</f>
        <v/>
      </c>
      <c r="I875" s="16" t="str">
        <f aca="false">IF(B875="","",F875-G875-H875)</f>
        <v/>
      </c>
    </row>
    <row r="876" customFormat="false" ht="15" hidden="false" customHeight="false" outlineLevel="0" collapsed="false">
      <c r="A876" s="34"/>
      <c r="B876" s="30"/>
      <c r="C876" s="30"/>
      <c r="D876" s="30"/>
      <c r="E876" s="16" t="str">
        <f aca="false">IF(B876="","",IFERROR(INDEX(Produtos!$C$5:$C$44,MATCH(B876,Produtos!$A$5:$A$44,0)),0))</f>
        <v/>
      </c>
      <c r="F876" s="16" t="str">
        <f aca="false">IF(B876="","",C876*E876)</f>
        <v/>
      </c>
      <c r="G876" s="16" t="str">
        <f aca="false">IF(B876="","",C876*IFERROR(INDEX(Produtos!$D$5:$D$44,MATCH(B876,Produtos!$A$5:$A$44,0)),0))</f>
        <v/>
      </c>
      <c r="H876" s="16" t="str">
        <f aca="false">IF(B876="","",F876*IFERROR(INDEX(Despesas!$B$5:$B$8,MATCH(D876,Despesas!$A$5:$A$8,0)),0))</f>
        <v/>
      </c>
      <c r="I876" s="16" t="str">
        <f aca="false">IF(B876="","",F876-G876-H876)</f>
        <v/>
      </c>
    </row>
    <row r="877" customFormat="false" ht="15" hidden="false" customHeight="false" outlineLevel="0" collapsed="false">
      <c r="A877" s="34"/>
      <c r="B877" s="30"/>
      <c r="C877" s="30"/>
      <c r="D877" s="30"/>
      <c r="E877" s="16" t="str">
        <f aca="false">IF(B877="","",IFERROR(INDEX(Produtos!$C$5:$C$44,MATCH(B877,Produtos!$A$5:$A$44,0)),0))</f>
        <v/>
      </c>
      <c r="F877" s="16" t="str">
        <f aca="false">IF(B877="","",C877*E877)</f>
        <v/>
      </c>
      <c r="G877" s="16" t="str">
        <f aca="false">IF(B877="","",C877*IFERROR(INDEX(Produtos!$D$5:$D$44,MATCH(B877,Produtos!$A$5:$A$44,0)),0))</f>
        <v/>
      </c>
      <c r="H877" s="16" t="str">
        <f aca="false">IF(B877="","",F877*IFERROR(INDEX(Despesas!$B$5:$B$8,MATCH(D877,Despesas!$A$5:$A$8,0)),0))</f>
        <v/>
      </c>
      <c r="I877" s="16" t="str">
        <f aca="false">IF(B877="","",F877-G877-H877)</f>
        <v/>
      </c>
    </row>
    <row r="878" customFormat="false" ht="15" hidden="false" customHeight="false" outlineLevel="0" collapsed="false">
      <c r="A878" s="34"/>
      <c r="B878" s="30"/>
      <c r="C878" s="30"/>
      <c r="D878" s="30"/>
      <c r="E878" s="16" t="str">
        <f aca="false">IF(B878="","",IFERROR(INDEX(Produtos!$C$5:$C$44,MATCH(B878,Produtos!$A$5:$A$44,0)),0))</f>
        <v/>
      </c>
      <c r="F878" s="16" t="str">
        <f aca="false">IF(B878="","",C878*E878)</f>
        <v/>
      </c>
      <c r="G878" s="16" t="str">
        <f aca="false">IF(B878="","",C878*IFERROR(INDEX(Produtos!$D$5:$D$44,MATCH(B878,Produtos!$A$5:$A$44,0)),0))</f>
        <v/>
      </c>
      <c r="H878" s="16" t="str">
        <f aca="false">IF(B878="","",F878*IFERROR(INDEX(Despesas!$B$5:$B$8,MATCH(D878,Despesas!$A$5:$A$8,0)),0))</f>
        <v/>
      </c>
      <c r="I878" s="16" t="str">
        <f aca="false">IF(B878="","",F878-G878-H878)</f>
        <v/>
      </c>
    </row>
    <row r="879" customFormat="false" ht="15" hidden="false" customHeight="false" outlineLevel="0" collapsed="false">
      <c r="A879" s="34"/>
      <c r="B879" s="30"/>
      <c r="C879" s="30"/>
      <c r="D879" s="30"/>
      <c r="E879" s="16" t="str">
        <f aca="false">IF(B879="","",IFERROR(INDEX(Produtos!$C$5:$C$44,MATCH(B879,Produtos!$A$5:$A$44,0)),0))</f>
        <v/>
      </c>
      <c r="F879" s="16" t="str">
        <f aca="false">IF(B879="","",C879*E879)</f>
        <v/>
      </c>
      <c r="G879" s="16" t="str">
        <f aca="false">IF(B879="","",C879*IFERROR(INDEX(Produtos!$D$5:$D$44,MATCH(B879,Produtos!$A$5:$A$44,0)),0))</f>
        <v/>
      </c>
      <c r="H879" s="16" t="str">
        <f aca="false">IF(B879="","",F879*IFERROR(INDEX(Despesas!$B$5:$B$8,MATCH(D879,Despesas!$A$5:$A$8,0)),0))</f>
        <v/>
      </c>
      <c r="I879" s="16" t="str">
        <f aca="false">IF(B879="","",F879-G879-H879)</f>
        <v/>
      </c>
    </row>
    <row r="880" customFormat="false" ht="15" hidden="false" customHeight="false" outlineLevel="0" collapsed="false">
      <c r="A880" s="34"/>
      <c r="B880" s="30"/>
      <c r="C880" s="30"/>
      <c r="D880" s="30"/>
      <c r="E880" s="16" t="str">
        <f aca="false">IF(B880="","",IFERROR(INDEX(Produtos!$C$5:$C$44,MATCH(B880,Produtos!$A$5:$A$44,0)),0))</f>
        <v/>
      </c>
      <c r="F880" s="16" t="str">
        <f aca="false">IF(B880="","",C880*E880)</f>
        <v/>
      </c>
      <c r="G880" s="16" t="str">
        <f aca="false">IF(B880="","",C880*IFERROR(INDEX(Produtos!$D$5:$D$44,MATCH(B880,Produtos!$A$5:$A$44,0)),0))</f>
        <v/>
      </c>
      <c r="H880" s="16" t="str">
        <f aca="false">IF(B880="","",F880*IFERROR(INDEX(Despesas!$B$5:$B$8,MATCH(D880,Despesas!$A$5:$A$8,0)),0))</f>
        <v/>
      </c>
      <c r="I880" s="16" t="str">
        <f aca="false">IF(B880="","",F880-G880-H880)</f>
        <v/>
      </c>
    </row>
    <row r="881" customFormat="false" ht="15" hidden="false" customHeight="false" outlineLevel="0" collapsed="false">
      <c r="A881" s="34"/>
      <c r="B881" s="30"/>
      <c r="C881" s="30"/>
      <c r="D881" s="30"/>
      <c r="E881" s="16" t="str">
        <f aca="false">IF(B881="","",IFERROR(INDEX(Produtos!$C$5:$C$44,MATCH(B881,Produtos!$A$5:$A$44,0)),0))</f>
        <v/>
      </c>
      <c r="F881" s="16" t="str">
        <f aca="false">IF(B881="","",C881*E881)</f>
        <v/>
      </c>
      <c r="G881" s="16" t="str">
        <f aca="false">IF(B881="","",C881*IFERROR(INDEX(Produtos!$D$5:$D$44,MATCH(B881,Produtos!$A$5:$A$44,0)),0))</f>
        <v/>
      </c>
      <c r="H881" s="16" t="str">
        <f aca="false">IF(B881="","",F881*IFERROR(INDEX(Despesas!$B$5:$B$8,MATCH(D881,Despesas!$A$5:$A$8,0)),0))</f>
        <v/>
      </c>
      <c r="I881" s="16" t="str">
        <f aca="false">IF(B881="","",F881-G881-H881)</f>
        <v/>
      </c>
    </row>
    <row r="882" customFormat="false" ht="15" hidden="false" customHeight="false" outlineLevel="0" collapsed="false">
      <c r="A882" s="34"/>
      <c r="B882" s="30"/>
      <c r="C882" s="30"/>
      <c r="D882" s="30"/>
      <c r="E882" s="16" t="str">
        <f aca="false">IF(B882="","",IFERROR(INDEX(Produtos!$C$5:$C$44,MATCH(B882,Produtos!$A$5:$A$44,0)),0))</f>
        <v/>
      </c>
      <c r="F882" s="16" t="str">
        <f aca="false">IF(B882="","",C882*E882)</f>
        <v/>
      </c>
      <c r="G882" s="16" t="str">
        <f aca="false">IF(B882="","",C882*IFERROR(INDEX(Produtos!$D$5:$D$44,MATCH(B882,Produtos!$A$5:$A$44,0)),0))</f>
        <v/>
      </c>
      <c r="H882" s="16" t="str">
        <f aca="false">IF(B882="","",F882*IFERROR(INDEX(Despesas!$B$5:$B$8,MATCH(D882,Despesas!$A$5:$A$8,0)),0))</f>
        <v/>
      </c>
      <c r="I882" s="16" t="str">
        <f aca="false">IF(B882="","",F882-G882-H882)</f>
        <v/>
      </c>
    </row>
    <row r="883" customFormat="false" ht="15" hidden="false" customHeight="false" outlineLevel="0" collapsed="false">
      <c r="A883" s="34"/>
      <c r="B883" s="30"/>
      <c r="C883" s="30"/>
      <c r="D883" s="30"/>
      <c r="E883" s="16" t="str">
        <f aca="false">IF(B883="","",IFERROR(INDEX(Produtos!$C$5:$C$44,MATCH(B883,Produtos!$A$5:$A$44,0)),0))</f>
        <v/>
      </c>
      <c r="F883" s="16" t="str">
        <f aca="false">IF(B883="","",C883*E883)</f>
        <v/>
      </c>
      <c r="G883" s="16" t="str">
        <f aca="false">IF(B883="","",C883*IFERROR(INDEX(Produtos!$D$5:$D$44,MATCH(B883,Produtos!$A$5:$A$44,0)),0))</f>
        <v/>
      </c>
      <c r="H883" s="16" t="str">
        <f aca="false">IF(B883="","",F883*IFERROR(INDEX(Despesas!$B$5:$B$8,MATCH(D883,Despesas!$A$5:$A$8,0)),0))</f>
        <v/>
      </c>
      <c r="I883" s="16" t="str">
        <f aca="false">IF(B883="","",F883-G883-H883)</f>
        <v/>
      </c>
    </row>
    <row r="884" customFormat="false" ht="15" hidden="false" customHeight="false" outlineLevel="0" collapsed="false">
      <c r="A884" s="34"/>
      <c r="B884" s="30"/>
      <c r="C884" s="30"/>
      <c r="D884" s="30"/>
      <c r="E884" s="16" t="str">
        <f aca="false">IF(B884="","",IFERROR(INDEX(Produtos!$C$5:$C$44,MATCH(B884,Produtos!$A$5:$A$44,0)),0))</f>
        <v/>
      </c>
      <c r="F884" s="16" t="str">
        <f aca="false">IF(B884="","",C884*E884)</f>
        <v/>
      </c>
      <c r="G884" s="16" t="str">
        <f aca="false">IF(B884="","",C884*IFERROR(INDEX(Produtos!$D$5:$D$44,MATCH(B884,Produtos!$A$5:$A$44,0)),0))</f>
        <v/>
      </c>
      <c r="H884" s="16" t="str">
        <f aca="false">IF(B884="","",F884*IFERROR(INDEX(Despesas!$B$5:$B$8,MATCH(D884,Despesas!$A$5:$A$8,0)),0))</f>
        <v/>
      </c>
      <c r="I884" s="16" t="str">
        <f aca="false">IF(B884="","",F884-G884-H884)</f>
        <v/>
      </c>
    </row>
    <row r="885" customFormat="false" ht="15" hidden="false" customHeight="false" outlineLevel="0" collapsed="false">
      <c r="A885" s="34"/>
      <c r="B885" s="30"/>
      <c r="C885" s="30"/>
      <c r="D885" s="30"/>
      <c r="E885" s="16" t="str">
        <f aca="false">IF(B885="","",IFERROR(INDEX(Produtos!$C$5:$C$44,MATCH(B885,Produtos!$A$5:$A$44,0)),0))</f>
        <v/>
      </c>
      <c r="F885" s="16" t="str">
        <f aca="false">IF(B885="","",C885*E885)</f>
        <v/>
      </c>
      <c r="G885" s="16" t="str">
        <f aca="false">IF(B885="","",C885*IFERROR(INDEX(Produtos!$D$5:$D$44,MATCH(B885,Produtos!$A$5:$A$44,0)),0))</f>
        <v/>
      </c>
      <c r="H885" s="16" t="str">
        <f aca="false">IF(B885="","",F885*IFERROR(INDEX(Despesas!$B$5:$B$8,MATCH(D885,Despesas!$A$5:$A$8,0)),0))</f>
        <v/>
      </c>
      <c r="I885" s="16" t="str">
        <f aca="false">IF(B885="","",F885-G885-H885)</f>
        <v/>
      </c>
    </row>
    <row r="886" customFormat="false" ht="15" hidden="false" customHeight="false" outlineLevel="0" collapsed="false">
      <c r="A886" s="34"/>
      <c r="B886" s="30"/>
      <c r="C886" s="30"/>
      <c r="D886" s="30"/>
      <c r="E886" s="16" t="str">
        <f aca="false">IF(B886="","",IFERROR(INDEX(Produtos!$C$5:$C$44,MATCH(B886,Produtos!$A$5:$A$44,0)),0))</f>
        <v/>
      </c>
      <c r="F886" s="16" t="str">
        <f aca="false">IF(B886="","",C886*E886)</f>
        <v/>
      </c>
      <c r="G886" s="16" t="str">
        <f aca="false">IF(B886="","",C886*IFERROR(INDEX(Produtos!$D$5:$D$44,MATCH(B886,Produtos!$A$5:$A$44,0)),0))</f>
        <v/>
      </c>
      <c r="H886" s="16" t="str">
        <f aca="false">IF(B886="","",F886*IFERROR(INDEX(Despesas!$B$5:$B$8,MATCH(D886,Despesas!$A$5:$A$8,0)),0))</f>
        <v/>
      </c>
      <c r="I886" s="16" t="str">
        <f aca="false">IF(B886="","",F886-G886-H886)</f>
        <v/>
      </c>
    </row>
    <row r="887" customFormat="false" ht="15" hidden="false" customHeight="false" outlineLevel="0" collapsed="false">
      <c r="A887" s="34"/>
      <c r="B887" s="30"/>
      <c r="C887" s="30"/>
      <c r="D887" s="30"/>
      <c r="E887" s="16" t="str">
        <f aca="false">IF(B887="","",IFERROR(INDEX(Produtos!$C$5:$C$44,MATCH(B887,Produtos!$A$5:$A$44,0)),0))</f>
        <v/>
      </c>
      <c r="F887" s="16" t="str">
        <f aca="false">IF(B887="","",C887*E887)</f>
        <v/>
      </c>
      <c r="G887" s="16" t="str">
        <f aca="false">IF(B887="","",C887*IFERROR(INDEX(Produtos!$D$5:$D$44,MATCH(B887,Produtos!$A$5:$A$44,0)),0))</f>
        <v/>
      </c>
      <c r="H887" s="16" t="str">
        <f aca="false">IF(B887="","",F887*IFERROR(INDEX(Despesas!$B$5:$B$8,MATCH(D887,Despesas!$A$5:$A$8,0)),0))</f>
        <v/>
      </c>
      <c r="I887" s="16" t="str">
        <f aca="false">IF(B887="","",F887-G887-H887)</f>
        <v/>
      </c>
    </row>
    <row r="888" customFormat="false" ht="15" hidden="false" customHeight="false" outlineLevel="0" collapsed="false">
      <c r="A888" s="34"/>
      <c r="B888" s="30"/>
      <c r="C888" s="30"/>
      <c r="D888" s="30"/>
      <c r="E888" s="16" t="str">
        <f aca="false">IF(B888="","",IFERROR(INDEX(Produtos!$C$5:$C$44,MATCH(B888,Produtos!$A$5:$A$44,0)),0))</f>
        <v/>
      </c>
      <c r="F888" s="16" t="str">
        <f aca="false">IF(B888="","",C888*E888)</f>
        <v/>
      </c>
      <c r="G888" s="16" t="str">
        <f aca="false">IF(B888="","",C888*IFERROR(INDEX(Produtos!$D$5:$D$44,MATCH(B888,Produtos!$A$5:$A$44,0)),0))</f>
        <v/>
      </c>
      <c r="H888" s="16" t="str">
        <f aca="false">IF(B888="","",F888*IFERROR(INDEX(Despesas!$B$5:$B$8,MATCH(D888,Despesas!$A$5:$A$8,0)),0))</f>
        <v/>
      </c>
      <c r="I888" s="16" t="str">
        <f aca="false">IF(B888="","",F888-G888-H888)</f>
        <v/>
      </c>
    </row>
    <row r="889" customFormat="false" ht="15" hidden="false" customHeight="false" outlineLevel="0" collapsed="false">
      <c r="A889" s="34"/>
      <c r="B889" s="30"/>
      <c r="C889" s="30"/>
      <c r="D889" s="30"/>
      <c r="E889" s="16" t="str">
        <f aca="false">IF(B889="","",IFERROR(INDEX(Produtos!$C$5:$C$44,MATCH(B889,Produtos!$A$5:$A$44,0)),0))</f>
        <v/>
      </c>
      <c r="F889" s="16" t="str">
        <f aca="false">IF(B889="","",C889*E889)</f>
        <v/>
      </c>
      <c r="G889" s="16" t="str">
        <f aca="false">IF(B889="","",C889*IFERROR(INDEX(Produtos!$D$5:$D$44,MATCH(B889,Produtos!$A$5:$A$44,0)),0))</f>
        <v/>
      </c>
      <c r="H889" s="16" t="str">
        <f aca="false">IF(B889="","",F889*IFERROR(INDEX(Despesas!$B$5:$B$8,MATCH(D889,Despesas!$A$5:$A$8,0)),0))</f>
        <v/>
      </c>
      <c r="I889" s="16" t="str">
        <f aca="false">IF(B889="","",F889-G889-H889)</f>
        <v/>
      </c>
    </row>
    <row r="890" customFormat="false" ht="15" hidden="false" customHeight="false" outlineLevel="0" collapsed="false">
      <c r="A890" s="34"/>
      <c r="B890" s="30"/>
      <c r="C890" s="30"/>
      <c r="D890" s="30"/>
      <c r="E890" s="16" t="str">
        <f aca="false">IF(B890="","",IFERROR(INDEX(Produtos!$C$5:$C$44,MATCH(B890,Produtos!$A$5:$A$44,0)),0))</f>
        <v/>
      </c>
      <c r="F890" s="16" t="str">
        <f aca="false">IF(B890="","",C890*E890)</f>
        <v/>
      </c>
      <c r="G890" s="16" t="str">
        <f aca="false">IF(B890="","",C890*IFERROR(INDEX(Produtos!$D$5:$D$44,MATCH(B890,Produtos!$A$5:$A$44,0)),0))</f>
        <v/>
      </c>
      <c r="H890" s="16" t="str">
        <f aca="false">IF(B890="","",F890*IFERROR(INDEX(Despesas!$B$5:$B$8,MATCH(D890,Despesas!$A$5:$A$8,0)),0))</f>
        <v/>
      </c>
      <c r="I890" s="16" t="str">
        <f aca="false">IF(B890="","",F890-G890-H890)</f>
        <v/>
      </c>
    </row>
    <row r="891" customFormat="false" ht="15" hidden="false" customHeight="false" outlineLevel="0" collapsed="false">
      <c r="A891" s="34"/>
      <c r="B891" s="30"/>
      <c r="C891" s="30"/>
      <c r="D891" s="30"/>
      <c r="E891" s="16" t="str">
        <f aca="false">IF(B891="","",IFERROR(INDEX(Produtos!$C$5:$C$44,MATCH(B891,Produtos!$A$5:$A$44,0)),0))</f>
        <v/>
      </c>
      <c r="F891" s="16" t="str">
        <f aca="false">IF(B891="","",C891*E891)</f>
        <v/>
      </c>
      <c r="G891" s="16" t="str">
        <f aca="false">IF(B891="","",C891*IFERROR(INDEX(Produtos!$D$5:$D$44,MATCH(B891,Produtos!$A$5:$A$44,0)),0))</f>
        <v/>
      </c>
      <c r="H891" s="16" t="str">
        <f aca="false">IF(B891="","",F891*IFERROR(INDEX(Despesas!$B$5:$B$8,MATCH(D891,Despesas!$A$5:$A$8,0)),0))</f>
        <v/>
      </c>
      <c r="I891" s="16" t="str">
        <f aca="false">IF(B891="","",F891-G891-H891)</f>
        <v/>
      </c>
    </row>
    <row r="892" customFormat="false" ht="15" hidden="false" customHeight="false" outlineLevel="0" collapsed="false">
      <c r="A892" s="34"/>
      <c r="B892" s="30"/>
      <c r="C892" s="30"/>
      <c r="D892" s="30"/>
      <c r="E892" s="16" t="str">
        <f aca="false">IF(B892="","",IFERROR(INDEX(Produtos!$C$5:$C$44,MATCH(B892,Produtos!$A$5:$A$44,0)),0))</f>
        <v/>
      </c>
      <c r="F892" s="16" t="str">
        <f aca="false">IF(B892="","",C892*E892)</f>
        <v/>
      </c>
      <c r="G892" s="16" t="str">
        <f aca="false">IF(B892="","",C892*IFERROR(INDEX(Produtos!$D$5:$D$44,MATCH(B892,Produtos!$A$5:$A$44,0)),0))</f>
        <v/>
      </c>
      <c r="H892" s="16" t="str">
        <f aca="false">IF(B892="","",F892*IFERROR(INDEX(Despesas!$B$5:$B$8,MATCH(D892,Despesas!$A$5:$A$8,0)),0))</f>
        <v/>
      </c>
      <c r="I892" s="16" t="str">
        <f aca="false">IF(B892="","",F892-G892-H892)</f>
        <v/>
      </c>
    </row>
    <row r="893" customFormat="false" ht="15" hidden="false" customHeight="false" outlineLevel="0" collapsed="false">
      <c r="A893" s="34"/>
      <c r="B893" s="30"/>
      <c r="C893" s="30"/>
      <c r="D893" s="30"/>
      <c r="E893" s="16" t="str">
        <f aca="false">IF(B893="","",IFERROR(INDEX(Produtos!$C$5:$C$44,MATCH(B893,Produtos!$A$5:$A$44,0)),0))</f>
        <v/>
      </c>
      <c r="F893" s="16" t="str">
        <f aca="false">IF(B893="","",C893*E893)</f>
        <v/>
      </c>
      <c r="G893" s="16" t="str">
        <f aca="false">IF(B893="","",C893*IFERROR(INDEX(Produtos!$D$5:$D$44,MATCH(B893,Produtos!$A$5:$A$44,0)),0))</f>
        <v/>
      </c>
      <c r="H893" s="16" t="str">
        <f aca="false">IF(B893="","",F893*IFERROR(INDEX(Despesas!$B$5:$B$8,MATCH(D893,Despesas!$A$5:$A$8,0)),0))</f>
        <v/>
      </c>
      <c r="I893" s="16" t="str">
        <f aca="false">IF(B893="","",F893-G893-H893)</f>
        <v/>
      </c>
    </row>
    <row r="894" customFormat="false" ht="15" hidden="false" customHeight="false" outlineLevel="0" collapsed="false">
      <c r="A894" s="34"/>
      <c r="B894" s="30"/>
      <c r="C894" s="30"/>
      <c r="D894" s="30"/>
      <c r="E894" s="16" t="str">
        <f aca="false">IF(B894="","",IFERROR(INDEX(Produtos!$C$5:$C$44,MATCH(B894,Produtos!$A$5:$A$44,0)),0))</f>
        <v/>
      </c>
      <c r="F894" s="16" t="str">
        <f aca="false">IF(B894="","",C894*E894)</f>
        <v/>
      </c>
      <c r="G894" s="16" t="str">
        <f aca="false">IF(B894="","",C894*IFERROR(INDEX(Produtos!$D$5:$D$44,MATCH(B894,Produtos!$A$5:$A$44,0)),0))</f>
        <v/>
      </c>
      <c r="H894" s="16" t="str">
        <f aca="false">IF(B894="","",F894*IFERROR(INDEX(Despesas!$B$5:$B$8,MATCH(D894,Despesas!$A$5:$A$8,0)),0))</f>
        <v/>
      </c>
      <c r="I894" s="16" t="str">
        <f aca="false">IF(B894="","",F894-G894-H894)</f>
        <v/>
      </c>
    </row>
    <row r="895" customFormat="false" ht="15" hidden="false" customHeight="false" outlineLevel="0" collapsed="false">
      <c r="A895" s="34"/>
      <c r="B895" s="30"/>
      <c r="C895" s="30"/>
      <c r="D895" s="30"/>
      <c r="E895" s="16" t="str">
        <f aca="false">IF(B895="","",IFERROR(INDEX(Produtos!$C$5:$C$44,MATCH(B895,Produtos!$A$5:$A$44,0)),0))</f>
        <v/>
      </c>
      <c r="F895" s="16" t="str">
        <f aca="false">IF(B895="","",C895*E895)</f>
        <v/>
      </c>
      <c r="G895" s="16" t="str">
        <f aca="false">IF(B895="","",C895*IFERROR(INDEX(Produtos!$D$5:$D$44,MATCH(B895,Produtos!$A$5:$A$44,0)),0))</f>
        <v/>
      </c>
      <c r="H895" s="16" t="str">
        <f aca="false">IF(B895="","",F895*IFERROR(INDEX(Despesas!$B$5:$B$8,MATCH(D895,Despesas!$A$5:$A$8,0)),0))</f>
        <v/>
      </c>
      <c r="I895" s="16" t="str">
        <f aca="false">IF(B895="","",F895-G895-H895)</f>
        <v/>
      </c>
    </row>
    <row r="896" customFormat="false" ht="15" hidden="false" customHeight="false" outlineLevel="0" collapsed="false">
      <c r="A896" s="34"/>
      <c r="B896" s="30"/>
      <c r="C896" s="30"/>
      <c r="D896" s="30"/>
      <c r="E896" s="16" t="str">
        <f aca="false">IF(B896="","",IFERROR(INDEX(Produtos!$C$5:$C$44,MATCH(B896,Produtos!$A$5:$A$44,0)),0))</f>
        <v/>
      </c>
      <c r="F896" s="16" t="str">
        <f aca="false">IF(B896="","",C896*E896)</f>
        <v/>
      </c>
      <c r="G896" s="16" t="str">
        <f aca="false">IF(B896="","",C896*IFERROR(INDEX(Produtos!$D$5:$D$44,MATCH(B896,Produtos!$A$5:$A$44,0)),0))</f>
        <v/>
      </c>
      <c r="H896" s="16" t="str">
        <f aca="false">IF(B896="","",F896*IFERROR(INDEX(Despesas!$B$5:$B$8,MATCH(D896,Despesas!$A$5:$A$8,0)),0))</f>
        <v/>
      </c>
      <c r="I896" s="16" t="str">
        <f aca="false">IF(B896="","",F896-G896-H896)</f>
        <v/>
      </c>
    </row>
    <row r="897" customFormat="false" ht="15" hidden="false" customHeight="false" outlineLevel="0" collapsed="false">
      <c r="A897" s="34"/>
      <c r="B897" s="30"/>
      <c r="C897" s="30"/>
      <c r="D897" s="30"/>
      <c r="E897" s="16" t="str">
        <f aca="false">IF(B897="","",IFERROR(INDEX(Produtos!$C$5:$C$44,MATCH(B897,Produtos!$A$5:$A$44,0)),0))</f>
        <v/>
      </c>
      <c r="F897" s="16" t="str">
        <f aca="false">IF(B897="","",C897*E897)</f>
        <v/>
      </c>
      <c r="G897" s="16" t="str">
        <f aca="false">IF(B897="","",C897*IFERROR(INDEX(Produtos!$D$5:$D$44,MATCH(B897,Produtos!$A$5:$A$44,0)),0))</f>
        <v/>
      </c>
      <c r="H897" s="16" t="str">
        <f aca="false">IF(B897="","",F897*IFERROR(INDEX(Despesas!$B$5:$B$8,MATCH(D897,Despesas!$A$5:$A$8,0)),0))</f>
        <v/>
      </c>
      <c r="I897" s="16" t="str">
        <f aca="false">IF(B897="","",F897-G897-H897)</f>
        <v/>
      </c>
    </row>
    <row r="898" customFormat="false" ht="15" hidden="false" customHeight="false" outlineLevel="0" collapsed="false">
      <c r="A898" s="34"/>
      <c r="B898" s="30"/>
      <c r="C898" s="30"/>
      <c r="D898" s="30"/>
      <c r="E898" s="16" t="str">
        <f aca="false">IF(B898="","",IFERROR(INDEX(Produtos!$C$5:$C$44,MATCH(B898,Produtos!$A$5:$A$44,0)),0))</f>
        <v/>
      </c>
      <c r="F898" s="16" t="str">
        <f aca="false">IF(B898="","",C898*E898)</f>
        <v/>
      </c>
      <c r="G898" s="16" t="str">
        <f aca="false">IF(B898="","",C898*IFERROR(INDEX(Produtos!$D$5:$D$44,MATCH(B898,Produtos!$A$5:$A$44,0)),0))</f>
        <v/>
      </c>
      <c r="H898" s="16" t="str">
        <f aca="false">IF(B898="","",F898*IFERROR(INDEX(Despesas!$B$5:$B$8,MATCH(D898,Despesas!$A$5:$A$8,0)),0))</f>
        <v/>
      </c>
      <c r="I898" s="16" t="str">
        <f aca="false">IF(B898="","",F898-G898-H898)</f>
        <v/>
      </c>
    </row>
    <row r="899" customFormat="false" ht="15" hidden="false" customHeight="false" outlineLevel="0" collapsed="false">
      <c r="A899" s="34"/>
      <c r="B899" s="30"/>
      <c r="C899" s="30"/>
      <c r="D899" s="30"/>
      <c r="E899" s="16" t="str">
        <f aca="false">IF(B899="","",IFERROR(INDEX(Produtos!$C$5:$C$44,MATCH(B899,Produtos!$A$5:$A$44,0)),0))</f>
        <v/>
      </c>
      <c r="F899" s="16" t="str">
        <f aca="false">IF(B899="","",C899*E899)</f>
        <v/>
      </c>
      <c r="G899" s="16" t="str">
        <f aca="false">IF(B899="","",C899*IFERROR(INDEX(Produtos!$D$5:$D$44,MATCH(B899,Produtos!$A$5:$A$44,0)),0))</f>
        <v/>
      </c>
      <c r="H899" s="16" t="str">
        <f aca="false">IF(B899="","",F899*IFERROR(INDEX(Despesas!$B$5:$B$8,MATCH(D899,Despesas!$A$5:$A$8,0)),0))</f>
        <v/>
      </c>
      <c r="I899" s="16" t="str">
        <f aca="false">IF(B899="","",F899-G899-H899)</f>
        <v/>
      </c>
    </row>
    <row r="900" customFormat="false" ht="15" hidden="false" customHeight="false" outlineLevel="0" collapsed="false">
      <c r="A900" s="34"/>
      <c r="B900" s="30"/>
      <c r="C900" s="30"/>
      <c r="D900" s="30"/>
      <c r="E900" s="16" t="str">
        <f aca="false">IF(B900="","",IFERROR(INDEX(Produtos!$C$5:$C$44,MATCH(B900,Produtos!$A$5:$A$44,0)),0))</f>
        <v/>
      </c>
      <c r="F900" s="16" t="str">
        <f aca="false">IF(B900="","",C900*E900)</f>
        <v/>
      </c>
      <c r="G900" s="16" t="str">
        <f aca="false">IF(B900="","",C900*IFERROR(INDEX(Produtos!$D$5:$D$44,MATCH(B900,Produtos!$A$5:$A$44,0)),0))</f>
        <v/>
      </c>
      <c r="H900" s="16" t="str">
        <f aca="false">IF(B900="","",F900*IFERROR(INDEX(Despesas!$B$5:$B$8,MATCH(D900,Despesas!$A$5:$A$8,0)),0))</f>
        <v/>
      </c>
      <c r="I900" s="16" t="str">
        <f aca="false">IF(B900="","",F900-G900-H900)</f>
        <v/>
      </c>
    </row>
    <row r="901" customFormat="false" ht="15" hidden="false" customHeight="false" outlineLevel="0" collapsed="false">
      <c r="A901" s="34"/>
      <c r="B901" s="30"/>
      <c r="C901" s="30"/>
      <c r="D901" s="30"/>
      <c r="E901" s="16" t="str">
        <f aca="false">IF(B901="","",IFERROR(INDEX(Produtos!$C$5:$C$44,MATCH(B901,Produtos!$A$5:$A$44,0)),0))</f>
        <v/>
      </c>
      <c r="F901" s="16" t="str">
        <f aca="false">IF(B901="","",C901*E901)</f>
        <v/>
      </c>
      <c r="G901" s="16" t="str">
        <f aca="false">IF(B901="","",C901*IFERROR(INDEX(Produtos!$D$5:$D$44,MATCH(B901,Produtos!$A$5:$A$44,0)),0))</f>
        <v/>
      </c>
      <c r="H901" s="16" t="str">
        <f aca="false">IF(B901="","",F901*IFERROR(INDEX(Despesas!$B$5:$B$8,MATCH(D901,Despesas!$A$5:$A$8,0)),0))</f>
        <v/>
      </c>
      <c r="I901" s="16" t="str">
        <f aca="false">IF(B901="","",F901-G901-H901)</f>
        <v/>
      </c>
    </row>
    <row r="902" customFormat="false" ht="15" hidden="false" customHeight="false" outlineLevel="0" collapsed="false">
      <c r="A902" s="34"/>
      <c r="B902" s="30"/>
      <c r="C902" s="30"/>
      <c r="D902" s="30"/>
      <c r="E902" s="16" t="str">
        <f aca="false">IF(B902="","",IFERROR(INDEX(Produtos!$C$5:$C$44,MATCH(B902,Produtos!$A$5:$A$44,0)),0))</f>
        <v/>
      </c>
      <c r="F902" s="16" t="str">
        <f aca="false">IF(B902="","",C902*E902)</f>
        <v/>
      </c>
      <c r="G902" s="16" t="str">
        <f aca="false">IF(B902="","",C902*IFERROR(INDEX(Produtos!$D$5:$D$44,MATCH(B902,Produtos!$A$5:$A$44,0)),0))</f>
        <v/>
      </c>
      <c r="H902" s="16" t="str">
        <f aca="false">IF(B902="","",F902*IFERROR(INDEX(Despesas!$B$5:$B$8,MATCH(D902,Despesas!$A$5:$A$8,0)),0))</f>
        <v/>
      </c>
      <c r="I902" s="16" t="str">
        <f aca="false">IF(B902="","",F902-G902-H902)</f>
        <v/>
      </c>
    </row>
    <row r="903" customFormat="false" ht="15" hidden="false" customHeight="false" outlineLevel="0" collapsed="false">
      <c r="A903" s="34"/>
      <c r="B903" s="30"/>
      <c r="C903" s="30"/>
      <c r="D903" s="30"/>
      <c r="E903" s="16" t="str">
        <f aca="false">IF(B903="","",IFERROR(INDEX(Produtos!$C$5:$C$44,MATCH(B903,Produtos!$A$5:$A$44,0)),0))</f>
        <v/>
      </c>
      <c r="F903" s="16" t="str">
        <f aca="false">IF(B903="","",C903*E903)</f>
        <v/>
      </c>
      <c r="G903" s="16" t="str">
        <f aca="false">IF(B903="","",C903*IFERROR(INDEX(Produtos!$D$5:$D$44,MATCH(B903,Produtos!$A$5:$A$44,0)),0))</f>
        <v/>
      </c>
      <c r="H903" s="16" t="str">
        <f aca="false">IF(B903="","",F903*IFERROR(INDEX(Despesas!$B$5:$B$8,MATCH(D903,Despesas!$A$5:$A$8,0)),0))</f>
        <v/>
      </c>
      <c r="I903" s="16" t="str">
        <f aca="false">IF(B903="","",F903-G903-H903)</f>
        <v/>
      </c>
    </row>
    <row r="904" customFormat="false" ht="15" hidden="false" customHeight="false" outlineLevel="0" collapsed="false">
      <c r="A904" s="34"/>
      <c r="B904" s="30"/>
      <c r="C904" s="30"/>
      <c r="D904" s="30"/>
      <c r="E904" s="16" t="str">
        <f aca="false">IF(B904="","",IFERROR(INDEX(Produtos!$C$5:$C$44,MATCH(B904,Produtos!$A$5:$A$44,0)),0))</f>
        <v/>
      </c>
      <c r="F904" s="16" t="str">
        <f aca="false">IF(B904="","",C904*E904)</f>
        <v/>
      </c>
      <c r="G904" s="16" t="str">
        <f aca="false">IF(B904="","",C904*IFERROR(INDEX(Produtos!$D$5:$D$44,MATCH(B904,Produtos!$A$5:$A$44,0)),0))</f>
        <v/>
      </c>
      <c r="H904" s="16" t="str">
        <f aca="false">IF(B904="","",F904*IFERROR(INDEX(Despesas!$B$5:$B$8,MATCH(D904,Despesas!$A$5:$A$8,0)),0))</f>
        <v/>
      </c>
      <c r="I904" s="16" t="str">
        <f aca="false">IF(B904="","",F904-G904-H904)</f>
        <v/>
      </c>
    </row>
    <row r="905" customFormat="false" ht="15" hidden="false" customHeight="false" outlineLevel="0" collapsed="false">
      <c r="A905" s="34"/>
      <c r="B905" s="30"/>
      <c r="C905" s="30"/>
      <c r="D905" s="30"/>
      <c r="E905" s="16" t="str">
        <f aca="false">IF(B905="","",IFERROR(INDEX(Produtos!$C$5:$C$44,MATCH(B905,Produtos!$A$5:$A$44,0)),0))</f>
        <v/>
      </c>
      <c r="F905" s="16" t="str">
        <f aca="false">IF(B905="","",C905*E905)</f>
        <v/>
      </c>
      <c r="G905" s="16" t="str">
        <f aca="false">IF(B905="","",C905*IFERROR(INDEX(Produtos!$D$5:$D$44,MATCH(B905,Produtos!$A$5:$A$44,0)),0))</f>
        <v/>
      </c>
      <c r="H905" s="16" t="str">
        <f aca="false">IF(B905="","",F905*IFERROR(INDEX(Despesas!$B$5:$B$8,MATCH(D905,Despesas!$A$5:$A$8,0)),0))</f>
        <v/>
      </c>
      <c r="I905" s="16" t="str">
        <f aca="false">IF(B905="","",F905-G905-H905)</f>
        <v/>
      </c>
    </row>
    <row r="906" customFormat="false" ht="15" hidden="false" customHeight="false" outlineLevel="0" collapsed="false">
      <c r="A906" s="34"/>
      <c r="B906" s="30"/>
      <c r="C906" s="30"/>
      <c r="D906" s="30"/>
      <c r="E906" s="16" t="str">
        <f aca="false">IF(B906="","",IFERROR(INDEX(Produtos!$C$5:$C$44,MATCH(B906,Produtos!$A$5:$A$44,0)),0))</f>
        <v/>
      </c>
      <c r="F906" s="16" t="str">
        <f aca="false">IF(B906="","",C906*E906)</f>
        <v/>
      </c>
      <c r="G906" s="16" t="str">
        <f aca="false">IF(B906="","",C906*IFERROR(INDEX(Produtos!$D$5:$D$44,MATCH(B906,Produtos!$A$5:$A$44,0)),0))</f>
        <v/>
      </c>
      <c r="H906" s="16" t="str">
        <f aca="false">IF(B906="","",F906*IFERROR(INDEX(Despesas!$B$5:$B$8,MATCH(D906,Despesas!$A$5:$A$8,0)),0))</f>
        <v/>
      </c>
      <c r="I906" s="16" t="str">
        <f aca="false">IF(B906="","",F906-G906-H906)</f>
        <v/>
      </c>
    </row>
    <row r="907" customFormat="false" ht="15" hidden="false" customHeight="false" outlineLevel="0" collapsed="false">
      <c r="A907" s="34"/>
      <c r="B907" s="30"/>
      <c r="C907" s="30"/>
      <c r="D907" s="30"/>
      <c r="E907" s="16" t="str">
        <f aca="false">IF(B907="","",IFERROR(INDEX(Produtos!$C$5:$C$44,MATCH(B907,Produtos!$A$5:$A$44,0)),0))</f>
        <v/>
      </c>
      <c r="F907" s="16" t="str">
        <f aca="false">IF(B907="","",C907*E907)</f>
        <v/>
      </c>
      <c r="G907" s="16" t="str">
        <f aca="false">IF(B907="","",C907*IFERROR(INDEX(Produtos!$D$5:$D$44,MATCH(B907,Produtos!$A$5:$A$44,0)),0))</f>
        <v/>
      </c>
      <c r="H907" s="16" t="str">
        <f aca="false">IF(B907="","",F907*IFERROR(INDEX(Despesas!$B$5:$B$8,MATCH(D907,Despesas!$A$5:$A$8,0)),0))</f>
        <v/>
      </c>
      <c r="I907" s="16" t="str">
        <f aca="false">IF(B907="","",F907-G907-H907)</f>
        <v/>
      </c>
    </row>
    <row r="908" customFormat="false" ht="15" hidden="false" customHeight="false" outlineLevel="0" collapsed="false">
      <c r="A908" s="34"/>
      <c r="B908" s="30"/>
      <c r="C908" s="30"/>
      <c r="D908" s="30"/>
      <c r="E908" s="16" t="str">
        <f aca="false">IF(B908="","",IFERROR(INDEX(Produtos!$C$5:$C$44,MATCH(B908,Produtos!$A$5:$A$44,0)),0))</f>
        <v/>
      </c>
      <c r="F908" s="16" t="str">
        <f aca="false">IF(B908="","",C908*E908)</f>
        <v/>
      </c>
      <c r="G908" s="16" t="str">
        <f aca="false">IF(B908="","",C908*IFERROR(INDEX(Produtos!$D$5:$D$44,MATCH(B908,Produtos!$A$5:$A$44,0)),0))</f>
        <v/>
      </c>
      <c r="H908" s="16" t="str">
        <f aca="false">IF(B908="","",F908*IFERROR(INDEX(Despesas!$B$5:$B$8,MATCH(D908,Despesas!$A$5:$A$8,0)),0))</f>
        <v/>
      </c>
      <c r="I908" s="16" t="str">
        <f aca="false">IF(B908="","",F908-G908-H908)</f>
        <v/>
      </c>
    </row>
    <row r="909" customFormat="false" ht="15" hidden="false" customHeight="false" outlineLevel="0" collapsed="false">
      <c r="A909" s="34"/>
      <c r="B909" s="30"/>
      <c r="C909" s="30"/>
      <c r="D909" s="30"/>
      <c r="E909" s="16" t="str">
        <f aca="false">IF(B909="","",IFERROR(INDEX(Produtos!$C$5:$C$44,MATCH(B909,Produtos!$A$5:$A$44,0)),0))</f>
        <v/>
      </c>
      <c r="F909" s="16" t="str">
        <f aca="false">IF(B909="","",C909*E909)</f>
        <v/>
      </c>
      <c r="G909" s="16" t="str">
        <f aca="false">IF(B909="","",C909*IFERROR(INDEX(Produtos!$D$5:$D$44,MATCH(B909,Produtos!$A$5:$A$44,0)),0))</f>
        <v/>
      </c>
      <c r="H909" s="16" t="str">
        <f aca="false">IF(B909="","",F909*IFERROR(INDEX(Despesas!$B$5:$B$8,MATCH(D909,Despesas!$A$5:$A$8,0)),0))</f>
        <v/>
      </c>
      <c r="I909" s="16" t="str">
        <f aca="false">IF(B909="","",F909-G909-H909)</f>
        <v/>
      </c>
    </row>
    <row r="910" customFormat="false" ht="15" hidden="false" customHeight="false" outlineLevel="0" collapsed="false">
      <c r="A910" s="34"/>
      <c r="B910" s="30"/>
      <c r="C910" s="30"/>
      <c r="D910" s="30"/>
      <c r="E910" s="16" t="str">
        <f aca="false">IF(B910="","",IFERROR(INDEX(Produtos!$C$5:$C$44,MATCH(B910,Produtos!$A$5:$A$44,0)),0))</f>
        <v/>
      </c>
      <c r="F910" s="16" t="str">
        <f aca="false">IF(B910="","",C910*E910)</f>
        <v/>
      </c>
      <c r="G910" s="16" t="str">
        <f aca="false">IF(B910="","",C910*IFERROR(INDEX(Produtos!$D$5:$D$44,MATCH(B910,Produtos!$A$5:$A$44,0)),0))</f>
        <v/>
      </c>
      <c r="H910" s="16" t="str">
        <f aca="false">IF(B910="","",F910*IFERROR(INDEX(Despesas!$B$5:$B$8,MATCH(D910,Despesas!$A$5:$A$8,0)),0))</f>
        <v/>
      </c>
      <c r="I910" s="16" t="str">
        <f aca="false">IF(B910="","",F910-G910-H910)</f>
        <v/>
      </c>
    </row>
    <row r="911" customFormat="false" ht="15" hidden="false" customHeight="false" outlineLevel="0" collapsed="false">
      <c r="A911" s="34"/>
      <c r="B911" s="30"/>
      <c r="C911" s="30"/>
      <c r="D911" s="30"/>
      <c r="E911" s="16" t="str">
        <f aca="false">IF(B911="","",IFERROR(INDEX(Produtos!$C$5:$C$44,MATCH(B911,Produtos!$A$5:$A$44,0)),0))</f>
        <v/>
      </c>
      <c r="F911" s="16" t="str">
        <f aca="false">IF(B911="","",C911*E911)</f>
        <v/>
      </c>
      <c r="G911" s="16" t="str">
        <f aca="false">IF(B911="","",C911*IFERROR(INDEX(Produtos!$D$5:$D$44,MATCH(B911,Produtos!$A$5:$A$44,0)),0))</f>
        <v/>
      </c>
      <c r="H911" s="16" t="str">
        <f aca="false">IF(B911="","",F911*IFERROR(INDEX(Despesas!$B$5:$B$8,MATCH(D911,Despesas!$A$5:$A$8,0)),0))</f>
        <v/>
      </c>
      <c r="I911" s="16" t="str">
        <f aca="false">IF(B911="","",F911-G911-H911)</f>
        <v/>
      </c>
    </row>
    <row r="912" customFormat="false" ht="15" hidden="false" customHeight="false" outlineLevel="0" collapsed="false">
      <c r="A912" s="34"/>
      <c r="B912" s="30"/>
      <c r="C912" s="30"/>
      <c r="D912" s="30"/>
      <c r="E912" s="16" t="str">
        <f aca="false">IF(B912="","",IFERROR(INDEX(Produtos!$C$5:$C$44,MATCH(B912,Produtos!$A$5:$A$44,0)),0))</f>
        <v/>
      </c>
      <c r="F912" s="16" t="str">
        <f aca="false">IF(B912="","",C912*E912)</f>
        <v/>
      </c>
      <c r="G912" s="16" t="str">
        <f aca="false">IF(B912="","",C912*IFERROR(INDEX(Produtos!$D$5:$D$44,MATCH(B912,Produtos!$A$5:$A$44,0)),0))</f>
        <v/>
      </c>
      <c r="H912" s="16" t="str">
        <f aca="false">IF(B912="","",F912*IFERROR(INDEX(Despesas!$B$5:$B$8,MATCH(D912,Despesas!$A$5:$A$8,0)),0))</f>
        <v/>
      </c>
      <c r="I912" s="16" t="str">
        <f aca="false">IF(B912="","",F912-G912-H912)</f>
        <v/>
      </c>
    </row>
    <row r="913" customFormat="false" ht="15" hidden="false" customHeight="false" outlineLevel="0" collapsed="false">
      <c r="A913" s="34"/>
      <c r="B913" s="30"/>
      <c r="C913" s="30"/>
      <c r="D913" s="30"/>
      <c r="E913" s="16" t="str">
        <f aca="false">IF(B913="","",IFERROR(INDEX(Produtos!$C$5:$C$44,MATCH(B913,Produtos!$A$5:$A$44,0)),0))</f>
        <v/>
      </c>
      <c r="F913" s="16" t="str">
        <f aca="false">IF(B913="","",C913*E913)</f>
        <v/>
      </c>
      <c r="G913" s="16" t="str">
        <f aca="false">IF(B913="","",C913*IFERROR(INDEX(Produtos!$D$5:$D$44,MATCH(B913,Produtos!$A$5:$A$44,0)),0))</f>
        <v/>
      </c>
      <c r="H913" s="16" t="str">
        <f aca="false">IF(B913="","",F913*IFERROR(INDEX(Despesas!$B$5:$B$8,MATCH(D913,Despesas!$A$5:$A$8,0)),0))</f>
        <v/>
      </c>
      <c r="I913" s="16" t="str">
        <f aca="false">IF(B913="","",F913-G913-H913)</f>
        <v/>
      </c>
    </row>
    <row r="914" customFormat="false" ht="15" hidden="false" customHeight="false" outlineLevel="0" collapsed="false">
      <c r="A914" s="34"/>
      <c r="B914" s="30"/>
      <c r="C914" s="30"/>
      <c r="D914" s="30"/>
      <c r="E914" s="16" t="str">
        <f aca="false">IF(B914="","",IFERROR(INDEX(Produtos!$C$5:$C$44,MATCH(B914,Produtos!$A$5:$A$44,0)),0))</f>
        <v/>
      </c>
      <c r="F914" s="16" t="str">
        <f aca="false">IF(B914="","",C914*E914)</f>
        <v/>
      </c>
      <c r="G914" s="16" t="str">
        <f aca="false">IF(B914="","",C914*IFERROR(INDEX(Produtos!$D$5:$D$44,MATCH(B914,Produtos!$A$5:$A$44,0)),0))</f>
        <v/>
      </c>
      <c r="H914" s="16" t="str">
        <f aca="false">IF(B914="","",F914*IFERROR(INDEX(Despesas!$B$5:$B$8,MATCH(D914,Despesas!$A$5:$A$8,0)),0))</f>
        <v/>
      </c>
      <c r="I914" s="16" t="str">
        <f aca="false">IF(B914="","",F914-G914-H914)</f>
        <v/>
      </c>
    </row>
    <row r="915" customFormat="false" ht="15" hidden="false" customHeight="false" outlineLevel="0" collapsed="false">
      <c r="A915" s="34"/>
      <c r="B915" s="30"/>
      <c r="C915" s="30"/>
      <c r="D915" s="30"/>
      <c r="E915" s="16" t="str">
        <f aca="false">IF(B915="","",IFERROR(INDEX(Produtos!$C$5:$C$44,MATCH(B915,Produtos!$A$5:$A$44,0)),0))</f>
        <v/>
      </c>
      <c r="F915" s="16" t="str">
        <f aca="false">IF(B915="","",C915*E915)</f>
        <v/>
      </c>
      <c r="G915" s="16" t="str">
        <f aca="false">IF(B915="","",C915*IFERROR(INDEX(Produtos!$D$5:$D$44,MATCH(B915,Produtos!$A$5:$A$44,0)),0))</f>
        <v/>
      </c>
      <c r="H915" s="16" t="str">
        <f aca="false">IF(B915="","",F915*IFERROR(INDEX(Despesas!$B$5:$B$8,MATCH(D915,Despesas!$A$5:$A$8,0)),0))</f>
        <v/>
      </c>
      <c r="I915" s="16" t="str">
        <f aca="false">IF(B915="","",F915-G915-H915)</f>
        <v/>
      </c>
    </row>
    <row r="916" customFormat="false" ht="15" hidden="false" customHeight="false" outlineLevel="0" collapsed="false">
      <c r="A916" s="34"/>
      <c r="B916" s="30"/>
      <c r="C916" s="30"/>
      <c r="D916" s="30"/>
      <c r="E916" s="16" t="str">
        <f aca="false">IF(B916="","",IFERROR(INDEX(Produtos!$C$5:$C$44,MATCH(B916,Produtos!$A$5:$A$44,0)),0))</f>
        <v/>
      </c>
      <c r="F916" s="16" t="str">
        <f aca="false">IF(B916="","",C916*E916)</f>
        <v/>
      </c>
      <c r="G916" s="16" t="str">
        <f aca="false">IF(B916="","",C916*IFERROR(INDEX(Produtos!$D$5:$D$44,MATCH(B916,Produtos!$A$5:$A$44,0)),0))</f>
        <v/>
      </c>
      <c r="H916" s="16" t="str">
        <f aca="false">IF(B916="","",F916*IFERROR(INDEX(Despesas!$B$5:$B$8,MATCH(D916,Despesas!$A$5:$A$8,0)),0))</f>
        <v/>
      </c>
      <c r="I916" s="16" t="str">
        <f aca="false">IF(B916="","",F916-G916-H916)</f>
        <v/>
      </c>
    </row>
    <row r="917" customFormat="false" ht="15" hidden="false" customHeight="false" outlineLevel="0" collapsed="false">
      <c r="A917" s="34"/>
      <c r="B917" s="30"/>
      <c r="C917" s="30"/>
      <c r="D917" s="30"/>
      <c r="E917" s="16" t="str">
        <f aca="false">IF(B917="","",IFERROR(INDEX(Produtos!$C$5:$C$44,MATCH(B917,Produtos!$A$5:$A$44,0)),0))</f>
        <v/>
      </c>
      <c r="F917" s="16" t="str">
        <f aca="false">IF(B917="","",C917*E917)</f>
        <v/>
      </c>
      <c r="G917" s="16" t="str">
        <f aca="false">IF(B917="","",C917*IFERROR(INDEX(Produtos!$D$5:$D$44,MATCH(B917,Produtos!$A$5:$A$44,0)),0))</f>
        <v/>
      </c>
      <c r="H917" s="16" t="str">
        <f aca="false">IF(B917="","",F917*IFERROR(INDEX(Despesas!$B$5:$B$8,MATCH(D917,Despesas!$A$5:$A$8,0)),0))</f>
        <v/>
      </c>
      <c r="I917" s="16" t="str">
        <f aca="false">IF(B917="","",F917-G917-H917)</f>
        <v/>
      </c>
    </row>
    <row r="918" customFormat="false" ht="15" hidden="false" customHeight="false" outlineLevel="0" collapsed="false">
      <c r="A918" s="34"/>
      <c r="B918" s="30"/>
      <c r="C918" s="30"/>
      <c r="D918" s="30"/>
      <c r="E918" s="16" t="str">
        <f aca="false">IF(B918="","",IFERROR(INDEX(Produtos!$C$5:$C$44,MATCH(B918,Produtos!$A$5:$A$44,0)),0))</f>
        <v/>
      </c>
      <c r="F918" s="16" t="str">
        <f aca="false">IF(B918="","",C918*E918)</f>
        <v/>
      </c>
      <c r="G918" s="16" t="str">
        <f aca="false">IF(B918="","",C918*IFERROR(INDEX(Produtos!$D$5:$D$44,MATCH(B918,Produtos!$A$5:$A$44,0)),0))</f>
        <v/>
      </c>
      <c r="H918" s="16" t="str">
        <f aca="false">IF(B918="","",F918*IFERROR(INDEX(Despesas!$B$5:$B$8,MATCH(D918,Despesas!$A$5:$A$8,0)),0))</f>
        <v/>
      </c>
      <c r="I918" s="16" t="str">
        <f aca="false">IF(B918="","",F918-G918-H918)</f>
        <v/>
      </c>
    </row>
    <row r="919" customFormat="false" ht="15" hidden="false" customHeight="false" outlineLevel="0" collapsed="false">
      <c r="A919" s="34"/>
      <c r="B919" s="30"/>
      <c r="C919" s="30"/>
      <c r="D919" s="30"/>
      <c r="E919" s="16" t="str">
        <f aca="false">IF(B919="","",IFERROR(INDEX(Produtos!$C$5:$C$44,MATCH(B919,Produtos!$A$5:$A$44,0)),0))</f>
        <v/>
      </c>
      <c r="F919" s="16" t="str">
        <f aca="false">IF(B919="","",C919*E919)</f>
        <v/>
      </c>
      <c r="G919" s="16" t="str">
        <f aca="false">IF(B919="","",C919*IFERROR(INDEX(Produtos!$D$5:$D$44,MATCH(B919,Produtos!$A$5:$A$44,0)),0))</f>
        <v/>
      </c>
      <c r="H919" s="16" t="str">
        <f aca="false">IF(B919="","",F919*IFERROR(INDEX(Despesas!$B$5:$B$8,MATCH(D919,Despesas!$A$5:$A$8,0)),0))</f>
        <v/>
      </c>
      <c r="I919" s="16" t="str">
        <f aca="false">IF(B919="","",F919-G919-H919)</f>
        <v/>
      </c>
    </row>
    <row r="920" customFormat="false" ht="15" hidden="false" customHeight="false" outlineLevel="0" collapsed="false">
      <c r="A920" s="34"/>
      <c r="B920" s="30"/>
      <c r="C920" s="30"/>
      <c r="D920" s="30"/>
      <c r="E920" s="16" t="str">
        <f aca="false">IF(B920="","",IFERROR(INDEX(Produtos!$C$5:$C$44,MATCH(B920,Produtos!$A$5:$A$44,0)),0))</f>
        <v/>
      </c>
      <c r="F920" s="16" t="str">
        <f aca="false">IF(B920="","",C920*E920)</f>
        <v/>
      </c>
      <c r="G920" s="16" t="str">
        <f aca="false">IF(B920="","",C920*IFERROR(INDEX(Produtos!$D$5:$D$44,MATCH(B920,Produtos!$A$5:$A$44,0)),0))</f>
        <v/>
      </c>
      <c r="H920" s="16" t="str">
        <f aca="false">IF(B920="","",F920*IFERROR(INDEX(Despesas!$B$5:$B$8,MATCH(D920,Despesas!$A$5:$A$8,0)),0))</f>
        <v/>
      </c>
      <c r="I920" s="16" t="str">
        <f aca="false">IF(B920="","",F920-G920-H920)</f>
        <v/>
      </c>
    </row>
    <row r="921" customFormat="false" ht="15" hidden="false" customHeight="false" outlineLevel="0" collapsed="false">
      <c r="A921" s="34"/>
      <c r="B921" s="30"/>
      <c r="C921" s="30"/>
      <c r="D921" s="30"/>
      <c r="E921" s="16" t="str">
        <f aca="false">IF(B921="","",IFERROR(INDEX(Produtos!$C$5:$C$44,MATCH(B921,Produtos!$A$5:$A$44,0)),0))</f>
        <v/>
      </c>
      <c r="F921" s="16" t="str">
        <f aca="false">IF(B921="","",C921*E921)</f>
        <v/>
      </c>
      <c r="G921" s="16" t="str">
        <f aca="false">IF(B921="","",C921*IFERROR(INDEX(Produtos!$D$5:$D$44,MATCH(B921,Produtos!$A$5:$A$44,0)),0))</f>
        <v/>
      </c>
      <c r="H921" s="16" t="str">
        <f aca="false">IF(B921="","",F921*IFERROR(INDEX(Despesas!$B$5:$B$8,MATCH(D921,Despesas!$A$5:$A$8,0)),0))</f>
        <v/>
      </c>
      <c r="I921" s="16" t="str">
        <f aca="false">IF(B921="","",F921-G921-H921)</f>
        <v/>
      </c>
    </row>
    <row r="922" customFormat="false" ht="15" hidden="false" customHeight="false" outlineLevel="0" collapsed="false">
      <c r="A922" s="34"/>
      <c r="B922" s="30"/>
      <c r="C922" s="30"/>
      <c r="D922" s="30"/>
      <c r="E922" s="16" t="str">
        <f aca="false">IF(B922="","",IFERROR(INDEX(Produtos!$C$5:$C$44,MATCH(B922,Produtos!$A$5:$A$44,0)),0))</f>
        <v/>
      </c>
      <c r="F922" s="16" t="str">
        <f aca="false">IF(B922="","",C922*E922)</f>
        <v/>
      </c>
      <c r="G922" s="16" t="str">
        <f aca="false">IF(B922="","",C922*IFERROR(INDEX(Produtos!$D$5:$D$44,MATCH(B922,Produtos!$A$5:$A$44,0)),0))</f>
        <v/>
      </c>
      <c r="H922" s="16" t="str">
        <f aca="false">IF(B922="","",F922*IFERROR(INDEX(Despesas!$B$5:$B$8,MATCH(D922,Despesas!$A$5:$A$8,0)),0))</f>
        <v/>
      </c>
      <c r="I922" s="16" t="str">
        <f aca="false">IF(B922="","",F922-G922-H922)</f>
        <v/>
      </c>
    </row>
    <row r="923" customFormat="false" ht="15" hidden="false" customHeight="false" outlineLevel="0" collapsed="false">
      <c r="A923" s="34"/>
      <c r="B923" s="30"/>
      <c r="C923" s="30"/>
      <c r="D923" s="30"/>
      <c r="E923" s="16" t="str">
        <f aca="false">IF(B923="","",IFERROR(INDEX(Produtos!$C$5:$C$44,MATCH(B923,Produtos!$A$5:$A$44,0)),0))</f>
        <v/>
      </c>
      <c r="F923" s="16" t="str">
        <f aca="false">IF(B923="","",C923*E923)</f>
        <v/>
      </c>
      <c r="G923" s="16" t="str">
        <f aca="false">IF(B923="","",C923*IFERROR(INDEX(Produtos!$D$5:$D$44,MATCH(B923,Produtos!$A$5:$A$44,0)),0))</f>
        <v/>
      </c>
      <c r="H923" s="16" t="str">
        <f aca="false">IF(B923="","",F923*IFERROR(INDEX(Despesas!$B$5:$B$8,MATCH(D923,Despesas!$A$5:$A$8,0)),0))</f>
        <v/>
      </c>
      <c r="I923" s="16" t="str">
        <f aca="false">IF(B923="","",F923-G923-H923)</f>
        <v/>
      </c>
    </row>
    <row r="924" customFormat="false" ht="15" hidden="false" customHeight="false" outlineLevel="0" collapsed="false">
      <c r="A924" s="34"/>
      <c r="B924" s="30"/>
      <c r="C924" s="30"/>
      <c r="D924" s="30"/>
      <c r="E924" s="16" t="str">
        <f aca="false">IF(B924="","",IFERROR(INDEX(Produtos!$C$5:$C$44,MATCH(B924,Produtos!$A$5:$A$44,0)),0))</f>
        <v/>
      </c>
      <c r="F924" s="16" t="str">
        <f aca="false">IF(B924="","",C924*E924)</f>
        <v/>
      </c>
      <c r="G924" s="16" t="str">
        <f aca="false">IF(B924="","",C924*IFERROR(INDEX(Produtos!$D$5:$D$44,MATCH(B924,Produtos!$A$5:$A$44,0)),0))</f>
        <v/>
      </c>
      <c r="H924" s="16" t="str">
        <f aca="false">IF(B924="","",F924*IFERROR(INDEX(Despesas!$B$5:$B$8,MATCH(D924,Despesas!$A$5:$A$8,0)),0))</f>
        <v/>
      </c>
      <c r="I924" s="16" t="str">
        <f aca="false">IF(B924="","",F924-G924-H924)</f>
        <v/>
      </c>
    </row>
    <row r="925" customFormat="false" ht="15" hidden="false" customHeight="false" outlineLevel="0" collapsed="false">
      <c r="A925" s="34"/>
      <c r="B925" s="30"/>
      <c r="C925" s="30"/>
      <c r="D925" s="30"/>
      <c r="E925" s="16" t="str">
        <f aca="false">IF(B925="","",IFERROR(INDEX(Produtos!$C$5:$C$44,MATCH(B925,Produtos!$A$5:$A$44,0)),0))</f>
        <v/>
      </c>
      <c r="F925" s="16" t="str">
        <f aca="false">IF(B925="","",C925*E925)</f>
        <v/>
      </c>
      <c r="G925" s="16" t="str">
        <f aca="false">IF(B925="","",C925*IFERROR(INDEX(Produtos!$D$5:$D$44,MATCH(B925,Produtos!$A$5:$A$44,0)),0))</f>
        <v/>
      </c>
      <c r="H925" s="16" t="str">
        <f aca="false">IF(B925="","",F925*IFERROR(INDEX(Despesas!$B$5:$B$8,MATCH(D925,Despesas!$A$5:$A$8,0)),0))</f>
        <v/>
      </c>
      <c r="I925" s="16" t="str">
        <f aca="false">IF(B925="","",F925-G925-H925)</f>
        <v/>
      </c>
    </row>
    <row r="926" customFormat="false" ht="15" hidden="false" customHeight="false" outlineLevel="0" collapsed="false">
      <c r="A926" s="34"/>
      <c r="B926" s="30"/>
      <c r="C926" s="30"/>
      <c r="D926" s="30"/>
      <c r="E926" s="16" t="str">
        <f aca="false">IF(B926="","",IFERROR(INDEX(Produtos!$C$5:$C$44,MATCH(B926,Produtos!$A$5:$A$44,0)),0))</f>
        <v/>
      </c>
      <c r="F926" s="16" t="str">
        <f aca="false">IF(B926="","",C926*E926)</f>
        <v/>
      </c>
      <c r="G926" s="16" t="str">
        <f aca="false">IF(B926="","",C926*IFERROR(INDEX(Produtos!$D$5:$D$44,MATCH(B926,Produtos!$A$5:$A$44,0)),0))</f>
        <v/>
      </c>
      <c r="H926" s="16" t="str">
        <f aca="false">IF(B926="","",F926*IFERROR(INDEX(Despesas!$B$5:$B$8,MATCH(D926,Despesas!$A$5:$A$8,0)),0))</f>
        <v/>
      </c>
      <c r="I926" s="16" t="str">
        <f aca="false">IF(B926="","",F926-G926-H926)</f>
        <v/>
      </c>
    </row>
    <row r="927" customFormat="false" ht="15" hidden="false" customHeight="false" outlineLevel="0" collapsed="false">
      <c r="A927" s="34"/>
      <c r="B927" s="30"/>
      <c r="C927" s="30"/>
      <c r="D927" s="30"/>
      <c r="E927" s="16" t="str">
        <f aca="false">IF(B927="","",IFERROR(INDEX(Produtos!$C$5:$C$44,MATCH(B927,Produtos!$A$5:$A$44,0)),0))</f>
        <v/>
      </c>
      <c r="F927" s="16" t="str">
        <f aca="false">IF(B927="","",C927*E927)</f>
        <v/>
      </c>
      <c r="G927" s="16" t="str">
        <f aca="false">IF(B927="","",C927*IFERROR(INDEX(Produtos!$D$5:$D$44,MATCH(B927,Produtos!$A$5:$A$44,0)),0))</f>
        <v/>
      </c>
      <c r="H927" s="16" t="str">
        <f aca="false">IF(B927="","",F927*IFERROR(INDEX(Despesas!$B$5:$B$8,MATCH(D927,Despesas!$A$5:$A$8,0)),0))</f>
        <v/>
      </c>
      <c r="I927" s="16" t="str">
        <f aca="false">IF(B927="","",F927-G927-H927)</f>
        <v/>
      </c>
    </row>
    <row r="928" customFormat="false" ht="15" hidden="false" customHeight="false" outlineLevel="0" collapsed="false">
      <c r="A928" s="34"/>
      <c r="B928" s="30"/>
      <c r="C928" s="30"/>
      <c r="D928" s="30"/>
      <c r="E928" s="16" t="str">
        <f aca="false">IF(B928="","",IFERROR(INDEX(Produtos!$C$5:$C$44,MATCH(B928,Produtos!$A$5:$A$44,0)),0))</f>
        <v/>
      </c>
      <c r="F928" s="16" t="str">
        <f aca="false">IF(B928="","",C928*E928)</f>
        <v/>
      </c>
      <c r="G928" s="16" t="str">
        <f aca="false">IF(B928="","",C928*IFERROR(INDEX(Produtos!$D$5:$D$44,MATCH(B928,Produtos!$A$5:$A$44,0)),0))</f>
        <v/>
      </c>
      <c r="H928" s="16" t="str">
        <f aca="false">IF(B928="","",F928*IFERROR(INDEX(Despesas!$B$5:$B$8,MATCH(D928,Despesas!$A$5:$A$8,0)),0))</f>
        <v/>
      </c>
      <c r="I928" s="16" t="str">
        <f aca="false">IF(B928="","",F928-G928-H928)</f>
        <v/>
      </c>
    </row>
    <row r="929" customFormat="false" ht="15" hidden="false" customHeight="false" outlineLevel="0" collapsed="false">
      <c r="A929" s="34"/>
      <c r="B929" s="30"/>
      <c r="C929" s="30"/>
      <c r="D929" s="30"/>
      <c r="E929" s="16" t="str">
        <f aca="false">IF(B929="","",IFERROR(INDEX(Produtos!$C$5:$C$44,MATCH(B929,Produtos!$A$5:$A$44,0)),0))</f>
        <v/>
      </c>
      <c r="F929" s="16" t="str">
        <f aca="false">IF(B929="","",C929*E929)</f>
        <v/>
      </c>
      <c r="G929" s="16" t="str">
        <f aca="false">IF(B929="","",C929*IFERROR(INDEX(Produtos!$D$5:$D$44,MATCH(B929,Produtos!$A$5:$A$44,0)),0))</f>
        <v/>
      </c>
      <c r="H929" s="16" t="str">
        <f aca="false">IF(B929="","",F929*IFERROR(INDEX(Despesas!$B$5:$B$8,MATCH(D929,Despesas!$A$5:$A$8,0)),0))</f>
        <v/>
      </c>
      <c r="I929" s="16" t="str">
        <f aca="false">IF(B929="","",F929-G929-H929)</f>
        <v/>
      </c>
    </row>
    <row r="930" customFormat="false" ht="15" hidden="false" customHeight="false" outlineLevel="0" collapsed="false">
      <c r="A930" s="34"/>
      <c r="B930" s="30"/>
      <c r="C930" s="30"/>
      <c r="D930" s="30"/>
      <c r="E930" s="16" t="str">
        <f aca="false">IF(B930="","",IFERROR(INDEX(Produtos!$C$5:$C$44,MATCH(B930,Produtos!$A$5:$A$44,0)),0))</f>
        <v/>
      </c>
      <c r="F930" s="16" t="str">
        <f aca="false">IF(B930="","",C930*E930)</f>
        <v/>
      </c>
      <c r="G930" s="16" t="str">
        <f aca="false">IF(B930="","",C930*IFERROR(INDEX(Produtos!$D$5:$D$44,MATCH(B930,Produtos!$A$5:$A$44,0)),0))</f>
        <v/>
      </c>
      <c r="H930" s="16" t="str">
        <f aca="false">IF(B930="","",F930*IFERROR(INDEX(Despesas!$B$5:$B$8,MATCH(D930,Despesas!$A$5:$A$8,0)),0))</f>
        <v/>
      </c>
      <c r="I930" s="16" t="str">
        <f aca="false">IF(B930="","",F930-G930-H930)</f>
        <v/>
      </c>
    </row>
    <row r="931" customFormat="false" ht="15" hidden="false" customHeight="false" outlineLevel="0" collapsed="false">
      <c r="A931" s="34"/>
      <c r="B931" s="30"/>
      <c r="C931" s="30"/>
      <c r="D931" s="30"/>
      <c r="E931" s="16" t="str">
        <f aca="false">IF(B931="","",IFERROR(INDEX(Produtos!$C$5:$C$44,MATCH(B931,Produtos!$A$5:$A$44,0)),0))</f>
        <v/>
      </c>
      <c r="F931" s="16" t="str">
        <f aca="false">IF(B931="","",C931*E931)</f>
        <v/>
      </c>
      <c r="G931" s="16" t="str">
        <f aca="false">IF(B931="","",C931*IFERROR(INDEX(Produtos!$D$5:$D$44,MATCH(B931,Produtos!$A$5:$A$44,0)),0))</f>
        <v/>
      </c>
      <c r="H931" s="16" t="str">
        <f aca="false">IF(B931="","",F931*IFERROR(INDEX(Despesas!$B$5:$B$8,MATCH(D931,Despesas!$A$5:$A$8,0)),0))</f>
        <v/>
      </c>
      <c r="I931" s="16" t="str">
        <f aca="false">IF(B931="","",F931-G931-H931)</f>
        <v/>
      </c>
    </row>
    <row r="932" customFormat="false" ht="15" hidden="false" customHeight="false" outlineLevel="0" collapsed="false">
      <c r="A932" s="34"/>
      <c r="B932" s="30"/>
      <c r="C932" s="30"/>
      <c r="D932" s="30"/>
      <c r="E932" s="16" t="str">
        <f aca="false">IF(B932="","",IFERROR(INDEX(Produtos!$C$5:$C$44,MATCH(B932,Produtos!$A$5:$A$44,0)),0))</f>
        <v/>
      </c>
      <c r="F932" s="16" t="str">
        <f aca="false">IF(B932="","",C932*E932)</f>
        <v/>
      </c>
      <c r="G932" s="16" t="str">
        <f aca="false">IF(B932="","",C932*IFERROR(INDEX(Produtos!$D$5:$D$44,MATCH(B932,Produtos!$A$5:$A$44,0)),0))</f>
        <v/>
      </c>
      <c r="H932" s="16" t="str">
        <f aca="false">IF(B932="","",F932*IFERROR(INDEX(Despesas!$B$5:$B$8,MATCH(D932,Despesas!$A$5:$A$8,0)),0))</f>
        <v/>
      </c>
      <c r="I932" s="16" t="str">
        <f aca="false">IF(B932="","",F932-G932-H932)</f>
        <v/>
      </c>
    </row>
    <row r="933" customFormat="false" ht="15" hidden="false" customHeight="false" outlineLevel="0" collapsed="false">
      <c r="A933" s="34"/>
      <c r="B933" s="30"/>
      <c r="C933" s="30"/>
      <c r="D933" s="30"/>
      <c r="E933" s="16" t="str">
        <f aca="false">IF(B933="","",IFERROR(INDEX(Produtos!$C$5:$C$44,MATCH(B933,Produtos!$A$5:$A$44,0)),0))</f>
        <v/>
      </c>
      <c r="F933" s="16" t="str">
        <f aca="false">IF(B933="","",C933*E933)</f>
        <v/>
      </c>
      <c r="G933" s="16" t="str">
        <f aca="false">IF(B933="","",C933*IFERROR(INDEX(Produtos!$D$5:$D$44,MATCH(B933,Produtos!$A$5:$A$44,0)),0))</f>
        <v/>
      </c>
      <c r="H933" s="16" t="str">
        <f aca="false">IF(B933="","",F933*IFERROR(INDEX(Despesas!$B$5:$B$8,MATCH(D933,Despesas!$A$5:$A$8,0)),0))</f>
        <v/>
      </c>
      <c r="I933" s="16" t="str">
        <f aca="false">IF(B933="","",F933-G933-H933)</f>
        <v/>
      </c>
    </row>
    <row r="934" customFormat="false" ht="15" hidden="false" customHeight="false" outlineLevel="0" collapsed="false">
      <c r="A934" s="34"/>
      <c r="B934" s="30"/>
      <c r="C934" s="30"/>
      <c r="D934" s="30"/>
      <c r="E934" s="16" t="str">
        <f aca="false">IF(B934="","",IFERROR(INDEX(Produtos!$C$5:$C$44,MATCH(B934,Produtos!$A$5:$A$44,0)),0))</f>
        <v/>
      </c>
      <c r="F934" s="16" t="str">
        <f aca="false">IF(B934="","",C934*E934)</f>
        <v/>
      </c>
      <c r="G934" s="16" t="str">
        <f aca="false">IF(B934="","",C934*IFERROR(INDEX(Produtos!$D$5:$D$44,MATCH(B934,Produtos!$A$5:$A$44,0)),0))</f>
        <v/>
      </c>
      <c r="H934" s="16" t="str">
        <f aca="false">IF(B934="","",F934*IFERROR(INDEX(Despesas!$B$5:$B$8,MATCH(D934,Despesas!$A$5:$A$8,0)),0))</f>
        <v/>
      </c>
      <c r="I934" s="16" t="str">
        <f aca="false">IF(B934="","",F934-G934-H934)</f>
        <v/>
      </c>
    </row>
    <row r="935" customFormat="false" ht="15" hidden="false" customHeight="false" outlineLevel="0" collapsed="false">
      <c r="A935" s="34"/>
      <c r="B935" s="30"/>
      <c r="C935" s="30"/>
      <c r="D935" s="30"/>
      <c r="E935" s="16" t="str">
        <f aca="false">IF(B935="","",IFERROR(INDEX(Produtos!$C$5:$C$44,MATCH(B935,Produtos!$A$5:$A$44,0)),0))</f>
        <v/>
      </c>
      <c r="F935" s="16" t="str">
        <f aca="false">IF(B935="","",C935*E935)</f>
        <v/>
      </c>
      <c r="G935" s="16" t="str">
        <f aca="false">IF(B935="","",C935*IFERROR(INDEX(Produtos!$D$5:$D$44,MATCH(B935,Produtos!$A$5:$A$44,0)),0))</f>
        <v/>
      </c>
      <c r="H935" s="16" t="str">
        <f aca="false">IF(B935="","",F935*IFERROR(INDEX(Despesas!$B$5:$B$8,MATCH(D935,Despesas!$A$5:$A$8,0)),0))</f>
        <v/>
      </c>
      <c r="I935" s="16" t="str">
        <f aca="false">IF(B935="","",F935-G935-H935)</f>
        <v/>
      </c>
    </row>
    <row r="936" customFormat="false" ht="15" hidden="false" customHeight="false" outlineLevel="0" collapsed="false">
      <c r="A936" s="34"/>
      <c r="B936" s="30"/>
      <c r="C936" s="30"/>
      <c r="D936" s="30"/>
      <c r="E936" s="16" t="str">
        <f aca="false">IF(B936="","",IFERROR(INDEX(Produtos!$C$5:$C$44,MATCH(B936,Produtos!$A$5:$A$44,0)),0))</f>
        <v/>
      </c>
      <c r="F936" s="16" t="str">
        <f aca="false">IF(B936="","",C936*E936)</f>
        <v/>
      </c>
      <c r="G936" s="16" t="str">
        <f aca="false">IF(B936="","",C936*IFERROR(INDEX(Produtos!$D$5:$D$44,MATCH(B936,Produtos!$A$5:$A$44,0)),0))</f>
        <v/>
      </c>
      <c r="H936" s="16" t="str">
        <f aca="false">IF(B936="","",F936*IFERROR(INDEX(Despesas!$B$5:$B$8,MATCH(D936,Despesas!$A$5:$A$8,0)),0))</f>
        <v/>
      </c>
      <c r="I936" s="16" t="str">
        <f aca="false">IF(B936="","",F936-G936-H936)</f>
        <v/>
      </c>
    </row>
    <row r="937" customFormat="false" ht="15" hidden="false" customHeight="false" outlineLevel="0" collapsed="false">
      <c r="A937" s="34"/>
      <c r="B937" s="30"/>
      <c r="C937" s="30"/>
      <c r="D937" s="30"/>
      <c r="E937" s="16" t="str">
        <f aca="false">IF(B937="","",IFERROR(INDEX(Produtos!$C$5:$C$44,MATCH(B937,Produtos!$A$5:$A$44,0)),0))</f>
        <v/>
      </c>
      <c r="F937" s="16" t="str">
        <f aca="false">IF(B937="","",C937*E937)</f>
        <v/>
      </c>
      <c r="G937" s="16" t="str">
        <f aca="false">IF(B937="","",C937*IFERROR(INDEX(Produtos!$D$5:$D$44,MATCH(B937,Produtos!$A$5:$A$44,0)),0))</f>
        <v/>
      </c>
      <c r="H937" s="16" t="str">
        <f aca="false">IF(B937="","",F937*IFERROR(INDEX(Despesas!$B$5:$B$8,MATCH(D937,Despesas!$A$5:$A$8,0)),0))</f>
        <v/>
      </c>
      <c r="I937" s="16" t="str">
        <f aca="false">IF(B937="","",F937-G937-H937)</f>
        <v/>
      </c>
    </row>
    <row r="938" customFormat="false" ht="15" hidden="false" customHeight="false" outlineLevel="0" collapsed="false">
      <c r="A938" s="34"/>
      <c r="B938" s="30"/>
      <c r="C938" s="30"/>
      <c r="D938" s="30"/>
      <c r="E938" s="16" t="str">
        <f aca="false">IF(B938="","",IFERROR(INDEX(Produtos!$C$5:$C$44,MATCH(B938,Produtos!$A$5:$A$44,0)),0))</f>
        <v/>
      </c>
      <c r="F938" s="16" t="str">
        <f aca="false">IF(B938="","",C938*E938)</f>
        <v/>
      </c>
      <c r="G938" s="16" t="str">
        <f aca="false">IF(B938="","",C938*IFERROR(INDEX(Produtos!$D$5:$D$44,MATCH(B938,Produtos!$A$5:$A$44,0)),0))</f>
        <v/>
      </c>
      <c r="H938" s="16" t="str">
        <f aca="false">IF(B938="","",F938*IFERROR(INDEX(Despesas!$B$5:$B$8,MATCH(D938,Despesas!$A$5:$A$8,0)),0))</f>
        <v/>
      </c>
      <c r="I938" s="16" t="str">
        <f aca="false">IF(B938="","",F938-G938-H938)</f>
        <v/>
      </c>
    </row>
    <row r="939" customFormat="false" ht="15" hidden="false" customHeight="false" outlineLevel="0" collapsed="false">
      <c r="A939" s="34"/>
      <c r="B939" s="30"/>
      <c r="C939" s="30"/>
      <c r="D939" s="30"/>
      <c r="E939" s="16" t="str">
        <f aca="false">IF(B939="","",IFERROR(INDEX(Produtos!$C$5:$C$44,MATCH(B939,Produtos!$A$5:$A$44,0)),0))</f>
        <v/>
      </c>
      <c r="F939" s="16" t="str">
        <f aca="false">IF(B939="","",C939*E939)</f>
        <v/>
      </c>
      <c r="G939" s="16" t="str">
        <f aca="false">IF(B939="","",C939*IFERROR(INDEX(Produtos!$D$5:$D$44,MATCH(B939,Produtos!$A$5:$A$44,0)),0))</f>
        <v/>
      </c>
      <c r="H939" s="16" t="str">
        <f aca="false">IF(B939="","",F939*IFERROR(INDEX(Despesas!$B$5:$B$8,MATCH(D939,Despesas!$A$5:$A$8,0)),0))</f>
        <v/>
      </c>
      <c r="I939" s="16" t="str">
        <f aca="false">IF(B939="","",F939-G939-H939)</f>
        <v/>
      </c>
    </row>
    <row r="940" customFormat="false" ht="15" hidden="false" customHeight="false" outlineLevel="0" collapsed="false">
      <c r="A940" s="34"/>
      <c r="B940" s="30"/>
      <c r="C940" s="30"/>
      <c r="D940" s="30"/>
      <c r="E940" s="16" t="str">
        <f aca="false">IF(B940="","",IFERROR(INDEX(Produtos!$C$5:$C$44,MATCH(B940,Produtos!$A$5:$A$44,0)),0))</f>
        <v/>
      </c>
      <c r="F940" s="16" t="str">
        <f aca="false">IF(B940="","",C940*E940)</f>
        <v/>
      </c>
      <c r="G940" s="16" t="str">
        <f aca="false">IF(B940="","",C940*IFERROR(INDEX(Produtos!$D$5:$D$44,MATCH(B940,Produtos!$A$5:$A$44,0)),0))</f>
        <v/>
      </c>
      <c r="H940" s="16" t="str">
        <f aca="false">IF(B940="","",F940*IFERROR(INDEX(Despesas!$B$5:$B$8,MATCH(D940,Despesas!$A$5:$A$8,0)),0))</f>
        <v/>
      </c>
      <c r="I940" s="16" t="str">
        <f aca="false">IF(B940="","",F940-G940-H940)</f>
        <v/>
      </c>
    </row>
    <row r="941" customFormat="false" ht="15" hidden="false" customHeight="false" outlineLevel="0" collapsed="false">
      <c r="A941" s="34"/>
      <c r="B941" s="30"/>
      <c r="C941" s="30"/>
      <c r="D941" s="30"/>
      <c r="E941" s="16" t="str">
        <f aca="false">IF(B941="","",IFERROR(INDEX(Produtos!$C$5:$C$44,MATCH(B941,Produtos!$A$5:$A$44,0)),0))</f>
        <v/>
      </c>
      <c r="F941" s="16" t="str">
        <f aca="false">IF(B941="","",C941*E941)</f>
        <v/>
      </c>
      <c r="G941" s="16" t="str">
        <f aca="false">IF(B941="","",C941*IFERROR(INDEX(Produtos!$D$5:$D$44,MATCH(B941,Produtos!$A$5:$A$44,0)),0))</f>
        <v/>
      </c>
      <c r="H941" s="16" t="str">
        <f aca="false">IF(B941="","",F941*IFERROR(INDEX(Despesas!$B$5:$B$8,MATCH(D941,Despesas!$A$5:$A$8,0)),0))</f>
        <v/>
      </c>
      <c r="I941" s="16" t="str">
        <f aca="false">IF(B941="","",F941-G941-H941)</f>
        <v/>
      </c>
    </row>
    <row r="942" customFormat="false" ht="15" hidden="false" customHeight="false" outlineLevel="0" collapsed="false">
      <c r="A942" s="34"/>
      <c r="B942" s="30"/>
      <c r="C942" s="30"/>
      <c r="D942" s="30"/>
      <c r="E942" s="16" t="str">
        <f aca="false">IF(B942="","",IFERROR(INDEX(Produtos!$C$5:$C$44,MATCH(B942,Produtos!$A$5:$A$44,0)),0))</f>
        <v/>
      </c>
      <c r="F942" s="16" t="str">
        <f aca="false">IF(B942="","",C942*E942)</f>
        <v/>
      </c>
      <c r="G942" s="16" t="str">
        <f aca="false">IF(B942="","",C942*IFERROR(INDEX(Produtos!$D$5:$D$44,MATCH(B942,Produtos!$A$5:$A$44,0)),0))</f>
        <v/>
      </c>
      <c r="H942" s="16" t="str">
        <f aca="false">IF(B942="","",F942*IFERROR(INDEX(Despesas!$B$5:$B$8,MATCH(D942,Despesas!$A$5:$A$8,0)),0))</f>
        <v/>
      </c>
      <c r="I942" s="16" t="str">
        <f aca="false">IF(B942="","",F942-G942-H942)</f>
        <v/>
      </c>
    </row>
    <row r="943" customFormat="false" ht="15" hidden="false" customHeight="false" outlineLevel="0" collapsed="false">
      <c r="A943" s="34"/>
      <c r="B943" s="30"/>
      <c r="C943" s="30"/>
      <c r="D943" s="30"/>
      <c r="E943" s="16" t="str">
        <f aca="false">IF(B943="","",IFERROR(INDEX(Produtos!$C$5:$C$44,MATCH(B943,Produtos!$A$5:$A$44,0)),0))</f>
        <v/>
      </c>
      <c r="F943" s="16" t="str">
        <f aca="false">IF(B943="","",C943*E943)</f>
        <v/>
      </c>
      <c r="G943" s="16" t="str">
        <f aca="false">IF(B943="","",C943*IFERROR(INDEX(Produtos!$D$5:$D$44,MATCH(B943,Produtos!$A$5:$A$44,0)),0))</f>
        <v/>
      </c>
      <c r="H943" s="16" t="str">
        <f aca="false">IF(B943="","",F943*IFERROR(INDEX(Despesas!$B$5:$B$8,MATCH(D943,Despesas!$A$5:$A$8,0)),0))</f>
        <v/>
      </c>
      <c r="I943" s="16" t="str">
        <f aca="false">IF(B943="","",F943-G943-H943)</f>
        <v/>
      </c>
    </row>
    <row r="944" customFormat="false" ht="15" hidden="false" customHeight="false" outlineLevel="0" collapsed="false">
      <c r="A944" s="34"/>
      <c r="B944" s="30"/>
      <c r="C944" s="30"/>
      <c r="D944" s="30"/>
      <c r="E944" s="16" t="str">
        <f aca="false">IF(B944="","",IFERROR(INDEX(Produtos!$C$5:$C$44,MATCH(B944,Produtos!$A$5:$A$44,0)),0))</f>
        <v/>
      </c>
      <c r="F944" s="16" t="str">
        <f aca="false">IF(B944="","",C944*E944)</f>
        <v/>
      </c>
      <c r="G944" s="16" t="str">
        <f aca="false">IF(B944="","",C944*IFERROR(INDEX(Produtos!$D$5:$D$44,MATCH(B944,Produtos!$A$5:$A$44,0)),0))</f>
        <v/>
      </c>
      <c r="H944" s="16" t="str">
        <f aca="false">IF(B944="","",F944*IFERROR(INDEX(Despesas!$B$5:$B$8,MATCH(D944,Despesas!$A$5:$A$8,0)),0))</f>
        <v/>
      </c>
      <c r="I944" s="16" t="str">
        <f aca="false">IF(B944="","",F944-G944-H944)</f>
        <v/>
      </c>
    </row>
    <row r="945" customFormat="false" ht="15" hidden="false" customHeight="false" outlineLevel="0" collapsed="false">
      <c r="A945" s="34"/>
      <c r="B945" s="30"/>
      <c r="C945" s="30"/>
      <c r="D945" s="30"/>
      <c r="E945" s="16" t="str">
        <f aca="false">IF(B945="","",IFERROR(INDEX(Produtos!$C$5:$C$44,MATCH(B945,Produtos!$A$5:$A$44,0)),0))</f>
        <v/>
      </c>
      <c r="F945" s="16" t="str">
        <f aca="false">IF(B945="","",C945*E945)</f>
        <v/>
      </c>
      <c r="G945" s="16" t="str">
        <f aca="false">IF(B945="","",C945*IFERROR(INDEX(Produtos!$D$5:$D$44,MATCH(B945,Produtos!$A$5:$A$44,0)),0))</f>
        <v/>
      </c>
      <c r="H945" s="16" t="str">
        <f aca="false">IF(B945="","",F945*IFERROR(INDEX(Despesas!$B$5:$B$8,MATCH(D945,Despesas!$A$5:$A$8,0)),0))</f>
        <v/>
      </c>
      <c r="I945" s="16" t="str">
        <f aca="false">IF(B945="","",F945-G945-H945)</f>
        <v/>
      </c>
    </row>
    <row r="946" customFormat="false" ht="15" hidden="false" customHeight="false" outlineLevel="0" collapsed="false">
      <c r="A946" s="34"/>
      <c r="B946" s="30"/>
      <c r="C946" s="30"/>
      <c r="D946" s="30"/>
      <c r="E946" s="16" t="str">
        <f aca="false">IF(B946="","",IFERROR(INDEX(Produtos!$C$5:$C$44,MATCH(B946,Produtos!$A$5:$A$44,0)),0))</f>
        <v/>
      </c>
      <c r="F946" s="16" t="str">
        <f aca="false">IF(B946="","",C946*E946)</f>
        <v/>
      </c>
      <c r="G946" s="16" t="str">
        <f aca="false">IF(B946="","",C946*IFERROR(INDEX(Produtos!$D$5:$D$44,MATCH(B946,Produtos!$A$5:$A$44,0)),0))</f>
        <v/>
      </c>
      <c r="H946" s="16" t="str">
        <f aca="false">IF(B946="","",F946*IFERROR(INDEX(Despesas!$B$5:$B$8,MATCH(D946,Despesas!$A$5:$A$8,0)),0))</f>
        <v/>
      </c>
      <c r="I946" s="16" t="str">
        <f aca="false">IF(B946="","",F946-G946-H946)</f>
        <v/>
      </c>
    </row>
    <row r="947" customFormat="false" ht="15" hidden="false" customHeight="false" outlineLevel="0" collapsed="false">
      <c r="A947" s="34"/>
      <c r="B947" s="30"/>
      <c r="C947" s="30"/>
      <c r="D947" s="30"/>
      <c r="E947" s="16" t="str">
        <f aca="false">IF(B947="","",IFERROR(INDEX(Produtos!$C$5:$C$44,MATCH(B947,Produtos!$A$5:$A$44,0)),0))</f>
        <v/>
      </c>
      <c r="F947" s="16" t="str">
        <f aca="false">IF(B947="","",C947*E947)</f>
        <v/>
      </c>
      <c r="G947" s="16" t="str">
        <f aca="false">IF(B947="","",C947*IFERROR(INDEX(Produtos!$D$5:$D$44,MATCH(B947,Produtos!$A$5:$A$44,0)),0))</f>
        <v/>
      </c>
      <c r="H947" s="16" t="str">
        <f aca="false">IF(B947="","",F947*IFERROR(INDEX(Despesas!$B$5:$B$8,MATCH(D947,Despesas!$A$5:$A$8,0)),0))</f>
        <v/>
      </c>
      <c r="I947" s="16" t="str">
        <f aca="false">IF(B947="","",F947-G947-H947)</f>
        <v/>
      </c>
    </row>
    <row r="948" customFormat="false" ht="15" hidden="false" customHeight="false" outlineLevel="0" collapsed="false">
      <c r="A948" s="34"/>
      <c r="B948" s="30"/>
      <c r="C948" s="30"/>
      <c r="D948" s="30"/>
      <c r="E948" s="16" t="str">
        <f aca="false">IF(B948="","",IFERROR(INDEX(Produtos!$C$5:$C$44,MATCH(B948,Produtos!$A$5:$A$44,0)),0))</f>
        <v/>
      </c>
      <c r="F948" s="16" t="str">
        <f aca="false">IF(B948="","",C948*E948)</f>
        <v/>
      </c>
      <c r="G948" s="16" t="str">
        <f aca="false">IF(B948="","",C948*IFERROR(INDEX(Produtos!$D$5:$D$44,MATCH(B948,Produtos!$A$5:$A$44,0)),0))</f>
        <v/>
      </c>
      <c r="H948" s="16" t="str">
        <f aca="false">IF(B948="","",F948*IFERROR(INDEX(Despesas!$B$5:$B$8,MATCH(D948,Despesas!$A$5:$A$8,0)),0))</f>
        <v/>
      </c>
      <c r="I948" s="16" t="str">
        <f aca="false">IF(B948="","",F948-G948-H948)</f>
        <v/>
      </c>
    </row>
    <row r="949" customFormat="false" ht="15" hidden="false" customHeight="false" outlineLevel="0" collapsed="false">
      <c r="A949" s="34"/>
      <c r="B949" s="30"/>
      <c r="C949" s="30"/>
      <c r="D949" s="30"/>
      <c r="E949" s="16" t="str">
        <f aca="false">IF(B949="","",IFERROR(INDEX(Produtos!$C$5:$C$44,MATCH(B949,Produtos!$A$5:$A$44,0)),0))</f>
        <v/>
      </c>
      <c r="F949" s="16" t="str">
        <f aca="false">IF(B949="","",C949*E949)</f>
        <v/>
      </c>
      <c r="G949" s="16" t="str">
        <f aca="false">IF(B949="","",C949*IFERROR(INDEX(Produtos!$D$5:$D$44,MATCH(B949,Produtos!$A$5:$A$44,0)),0))</f>
        <v/>
      </c>
      <c r="H949" s="16" t="str">
        <f aca="false">IF(B949="","",F949*IFERROR(INDEX(Despesas!$B$5:$B$8,MATCH(D949,Despesas!$A$5:$A$8,0)),0))</f>
        <v/>
      </c>
      <c r="I949" s="16" t="str">
        <f aca="false">IF(B949="","",F949-G949-H949)</f>
        <v/>
      </c>
    </row>
    <row r="950" customFormat="false" ht="15" hidden="false" customHeight="false" outlineLevel="0" collapsed="false">
      <c r="A950" s="34"/>
      <c r="B950" s="30"/>
      <c r="C950" s="30"/>
      <c r="D950" s="30"/>
      <c r="E950" s="16" t="str">
        <f aca="false">IF(B950="","",IFERROR(INDEX(Produtos!$C$5:$C$44,MATCH(B950,Produtos!$A$5:$A$44,0)),0))</f>
        <v/>
      </c>
      <c r="F950" s="16" t="str">
        <f aca="false">IF(B950="","",C950*E950)</f>
        <v/>
      </c>
      <c r="G950" s="16" t="str">
        <f aca="false">IF(B950="","",C950*IFERROR(INDEX(Produtos!$D$5:$D$44,MATCH(B950,Produtos!$A$5:$A$44,0)),0))</f>
        <v/>
      </c>
      <c r="H950" s="16" t="str">
        <f aca="false">IF(B950="","",F950*IFERROR(INDEX(Despesas!$B$5:$B$8,MATCH(D950,Despesas!$A$5:$A$8,0)),0))</f>
        <v/>
      </c>
      <c r="I950" s="16" t="str">
        <f aca="false">IF(B950="","",F950-G950-H950)</f>
        <v/>
      </c>
    </row>
    <row r="951" customFormat="false" ht="15" hidden="false" customHeight="false" outlineLevel="0" collapsed="false">
      <c r="A951" s="34"/>
      <c r="B951" s="30"/>
      <c r="C951" s="30"/>
      <c r="D951" s="30"/>
      <c r="E951" s="16" t="str">
        <f aca="false">IF(B951="","",IFERROR(INDEX(Produtos!$C$5:$C$44,MATCH(B951,Produtos!$A$5:$A$44,0)),0))</f>
        <v/>
      </c>
      <c r="F951" s="16" t="str">
        <f aca="false">IF(B951="","",C951*E951)</f>
        <v/>
      </c>
      <c r="G951" s="16" t="str">
        <f aca="false">IF(B951="","",C951*IFERROR(INDEX(Produtos!$D$5:$D$44,MATCH(B951,Produtos!$A$5:$A$44,0)),0))</f>
        <v/>
      </c>
      <c r="H951" s="16" t="str">
        <f aca="false">IF(B951="","",F951*IFERROR(INDEX(Despesas!$B$5:$B$8,MATCH(D951,Despesas!$A$5:$A$8,0)),0))</f>
        <v/>
      </c>
      <c r="I951" s="16" t="str">
        <f aca="false">IF(B951="","",F951-G951-H951)</f>
        <v/>
      </c>
    </row>
    <row r="952" customFormat="false" ht="15" hidden="false" customHeight="false" outlineLevel="0" collapsed="false">
      <c r="A952" s="34"/>
      <c r="B952" s="30"/>
      <c r="C952" s="30"/>
      <c r="D952" s="30"/>
      <c r="E952" s="16" t="str">
        <f aca="false">IF(B952="","",IFERROR(INDEX(Produtos!$C$5:$C$44,MATCH(B952,Produtos!$A$5:$A$44,0)),0))</f>
        <v/>
      </c>
      <c r="F952" s="16" t="str">
        <f aca="false">IF(B952="","",C952*E952)</f>
        <v/>
      </c>
      <c r="G952" s="16" t="str">
        <f aca="false">IF(B952="","",C952*IFERROR(INDEX(Produtos!$D$5:$D$44,MATCH(B952,Produtos!$A$5:$A$44,0)),0))</f>
        <v/>
      </c>
      <c r="H952" s="16" t="str">
        <f aca="false">IF(B952="","",F952*IFERROR(INDEX(Despesas!$B$5:$B$8,MATCH(D952,Despesas!$A$5:$A$8,0)),0))</f>
        <v/>
      </c>
      <c r="I952" s="16" t="str">
        <f aca="false">IF(B952="","",F952-G952-H952)</f>
        <v/>
      </c>
    </row>
    <row r="953" customFormat="false" ht="15" hidden="false" customHeight="false" outlineLevel="0" collapsed="false">
      <c r="A953" s="34"/>
      <c r="B953" s="30"/>
      <c r="C953" s="30"/>
      <c r="D953" s="30"/>
      <c r="E953" s="16" t="str">
        <f aca="false">IF(B953="","",IFERROR(INDEX(Produtos!$C$5:$C$44,MATCH(B953,Produtos!$A$5:$A$44,0)),0))</f>
        <v/>
      </c>
      <c r="F953" s="16" t="str">
        <f aca="false">IF(B953="","",C953*E953)</f>
        <v/>
      </c>
      <c r="G953" s="16" t="str">
        <f aca="false">IF(B953="","",C953*IFERROR(INDEX(Produtos!$D$5:$D$44,MATCH(B953,Produtos!$A$5:$A$44,0)),0))</f>
        <v/>
      </c>
      <c r="H953" s="16" t="str">
        <f aca="false">IF(B953="","",F953*IFERROR(INDEX(Despesas!$B$5:$B$8,MATCH(D953,Despesas!$A$5:$A$8,0)),0))</f>
        <v/>
      </c>
      <c r="I953" s="16" t="str">
        <f aca="false">IF(B953="","",F953-G953-H953)</f>
        <v/>
      </c>
    </row>
    <row r="954" customFormat="false" ht="15" hidden="false" customHeight="false" outlineLevel="0" collapsed="false">
      <c r="A954" s="34"/>
      <c r="B954" s="30"/>
      <c r="C954" s="30"/>
      <c r="D954" s="30"/>
      <c r="E954" s="16" t="str">
        <f aca="false">IF(B954="","",IFERROR(INDEX(Produtos!$C$5:$C$44,MATCH(B954,Produtos!$A$5:$A$44,0)),0))</f>
        <v/>
      </c>
      <c r="F954" s="16" t="str">
        <f aca="false">IF(B954="","",C954*E954)</f>
        <v/>
      </c>
      <c r="G954" s="16" t="str">
        <f aca="false">IF(B954="","",C954*IFERROR(INDEX(Produtos!$D$5:$D$44,MATCH(B954,Produtos!$A$5:$A$44,0)),0))</f>
        <v/>
      </c>
      <c r="H954" s="16" t="str">
        <f aca="false">IF(B954="","",F954*IFERROR(INDEX(Despesas!$B$5:$B$8,MATCH(D954,Despesas!$A$5:$A$8,0)),0))</f>
        <v/>
      </c>
      <c r="I954" s="16" t="str">
        <f aca="false">IF(B954="","",F954-G954-H954)</f>
        <v/>
      </c>
    </row>
    <row r="955" customFormat="false" ht="15" hidden="false" customHeight="false" outlineLevel="0" collapsed="false">
      <c r="A955" s="34"/>
      <c r="B955" s="30"/>
      <c r="C955" s="30"/>
      <c r="D955" s="30"/>
      <c r="E955" s="16" t="str">
        <f aca="false">IF(B955="","",IFERROR(INDEX(Produtos!$C$5:$C$44,MATCH(B955,Produtos!$A$5:$A$44,0)),0))</f>
        <v/>
      </c>
      <c r="F955" s="16" t="str">
        <f aca="false">IF(B955="","",C955*E955)</f>
        <v/>
      </c>
      <c r="G955" s="16" t="str">
        <f aca="false">IF(B955="","",C955*IFERROR(INDEX(Produtos!$D$5:$D$44,MATCH(B955,Produtos!$A$5:$A$44,0)),0))</f>
        <v/>
      </c>
      <c r="H955" s="16" t="str">
        <f aca="false">IF(B955="","",F955*IFERROR(INDEX(Despesas!$B$5:$B$8,MATCH(D955,Despesas!$A$5:$A$8,0)),0))</f>
        <v/>
      </c>
      <c r="I955" s="16" t="str">
        <f aca="false">IF(B955="","",F955-G955-H955)</f>
        <v/>
      </c>
    </row>
    <row r="956" customFormat="false" ht="15" hidden="false" customHeight="false" outlineLevel="0" collapsed="false">
      <c r="A956" s="34"/>
      <c r="B956" s="30"/>
      <c r="C956" s="30"/>
      <c r="D956" s="30"/>
      <c r="E956" s="16" t="str">
        <f aca="false">IF(B956="","",IFERROR(INDEX(Produtos!$C$5:$C$44,MATCH(B956,Produtos!$A$5:$A$44,0)),0))</f>
        <v/>
      </c>
      <c r="F956" s="16" t="str">
        <f aca="false">IF(B956="","",C956*E956)</f>
        <v/>
      </c>
      <c r="G956" s="16" t="str">
        <f aca="false">IF(B956="","",C956*IFERROR(INDEX(Produtos!$D$5:$D$44,MATCH(B956,Produtos!$A$5:$A$44,0)),0))</f>
        <v/>
      </c>
      <c r="H956" s="16" t="str">
        <f aca="false">IF(B956="","",F956*IFERROR(INDEX(Despesas!$B$5:$B$8,MATCH(D956,Despesas!$A$5:$A$8,0)),0))</f>
        <v/>
      </c>
      <c r="I956" s="16" t="str">
        <f aca="false">IF(B956="","",F956-G956-H956)</f>
        <v/>
      </c>
    </row>
    <row r="957" customFormat="false" ht="15" hidden="false" customHeight="false" outlineLevel="0" collapsed="false">
      <c r="A957" s="34"/>
      <c r="B957" s="30"/>
      <c r="C957" s="30"/>
      <c r="D957" s="30"/>
      <c r="E957" s="16" t="str">
        <f aca="false">IF(B957="","",IFERROR(INDEX(Produtos!$C$5:$C$44,MATCH(B957,Produtos!$A$5:$A$44,0)),0))</f>
        <v/>
      </c>
      <c r="F957" s="16" t="str">
        <f aca="false">IF(B957="","",C957*E957)</f>
        <v/>
      </c>
      <c r="G957" s="16" t="str">
        <f aca="false">IF(B957="","",C957*IFERROR(INDEX(Produtos!$D$5:$D$44,MATCH(B957,Produtos!$A$5:$A$44,0)),0))</f>
        <v/>
      </c>
      <c r="H957" s="16" t="str">
        <f aca="false">IF(B957="","",F957*IFERROR(INDEX(Despesas!$B$5:$B$8,MATCH(D957,Despesas!$A$5:$A$8,0)),0))</f>
        <v/>
      </c>
      <c r="I957" s="16" t="str">
        <f aca="false">IF(B957="","",F957-G957-H957)</f>
        <v/>
      </c>
    </row>
    <row r="958" customFormat="false" ht="15" hidden="false" customHeight="false" outlineLevel="0" collapsed="false">
      <c r="A958" s="34"/>
      <c r="B958" s="30"/>
      <c r="C958" s="30"/>
      <c r="D958" s="30"/>
      <c r="E958" s="16" t="str">
        <f aca="false">IF(B958="","",IFERROR(INDEX(Produtos!$C$5:$C$44,MATCH(B958,Produtos!$A$5:$A$44,0)),0))</f>
        <v/>
      </c>
      <c r="F958" s="16" t="str">
        <f aca="false">IF(B958="","",C958*E958)</f>
        <v/>
      </c>
      <c r="G958" s="16" t="str">
        <f aca="false">IF(B958="","",C958*IFERROR(INDEX(Produtos!$D$5:$D$44,MATCH(B958,Produtos!$A$5:$A$44,0)),0))</f>
        <v/>
      </c>
      <c r="H958" s="16" t="str">
        <f aca="false">IF(B958="","",F958*IFERROR(INDEX(Despesas!$B$5:$B$8,MATCH(D958,Despesas!$A$5:$A$8,0)),0))</f>
        <v/>
      </c>
      <c r="I958" s="16" t="str">
        <f aca="false">IF(B958="","",F958-G958-H958)</f>
        <v/>
      </c>
    </row>
    <row r="959" customFormat="false" ht="15" hidden="false" customHeight="false" outlineLevel="0" collapsed="false">
      <c r="A959" s="34"/>
      <c r="B959" s="30"/>
      <c r="C959" s="30"/>
      <c r="D959" s="30"/>
      <c r="E959" s="16" t="str">
        <f aca="false">IF(B959="","",IFERROR(INDEX(Produtos!$C$5:$C$44,MATCH(B959,Produtos!$A$5:$A$44,0)),0))</f>
        <v/>
      </c>
      <c r="F959" s="16" t="str">
        <f aca="false">IF(B959="","",C959*E959)</f>
        <v/>
      </c>
      <c r="G959" s="16" t="str">
        <f aca="false">IF(B959="","",C959*IFERROR(INDEX(Produtos!$D$5:$D$44,MATCH(B959,Produtos!$A$5:$A$44,0)),0))</f>
        <v/>
      </c>
      <c r="H959" s="16" t="str">
        <f aca="false">IF(B959="","",F959*IFERROR(INDEX(Despesas!$B$5:$B$8,MATCH(D959,Despesas!$A$5:$A$8,0)),0))</f>
        <v/>
      </c>
      <c r="I959" s="16" t="str">
        <f aca="false">IF(B959="","",F959-G959-H959)</f>
        <v/>
      </c>
    </row>
    <row r="960" customFormat="false" ht="15" hidden="false" customHeight="false" outlineLevel="0" collapsed="false">
      <c r="A960" s="34"/>
      <c r="B960" s="30"/>
      <c r="C960" s="30"/>
      <c r="D960" s="30"/>
      <c r="E960" s="16" t="str">
        <f aca="false">IF(B960="","",IFERROR(INDEX(Produtos!$C$5:$C$44,MATCH(B960,Produtos!$A$5:$A$44,0)),0))</f>
        <v/>
      </c>
      <c r="F960" s="16" t="str">
        <f aca="false">IF(B960="","",C960*E960)</f>
        <v/>
      </c>
      <c r="G960" s="16" t="str">
        <f aca="false">IF(B960="","",C960*IFERROR(INDEX(Produtos!$D$5:$D$44,MATCH(B960,Produtos!$A$5:$A$44,0)),0))</f>
        <v/>
      </c>
      <c r="H960" s="16" t="str">
        <f aca="false">IF(B960="","",F960*IFERROR(INDEX(Despesas!$B$5:$B$8,MATCH(D960,Despesas!$A$5:$A$8,0)),0))</f>
        <v/>
      </c>
      <c r="I960" s="16" t="str">
        <f aca="false">IF(B960="","",F960-G960-H960)</f>
        <v/>
      </c>
    </row>
    <row r="961" customFormat="false" ht="15" hidden="false" customHeight="false" outlineLevel="0" collapsed="false">
      <c r="A961" s="34"/>
      <c r="B961" s="30"/>
      <c r="C961" s="30"/>
      <c r="D961" s="30"/>
      <c r="E961" s="16" t="str">
        <f aca="false">IF(B961="","",IFERROR(INDEX(Produtos!$C$5:$C$44,MATCH(B961,Produtos!$A$5:$A$44,0)),0))</f>
        <v/>
      </c>
      <c r="F961" s="16" t="str">
        <f aca="false">IF(B961="","",C961*E961)</f>
        <v/>
      </c>
      <c r="G961" s="16" t="str">
        <f aca="false">IF(B961="","",C961*IFERROR(INDEX(Produtos!$D$5:$D$44,MATCH(B961,Produtos!$A$5:$A$44,0)),0))</f>
        <v/>
      </c>
      <c r="H961" s="16" t="str">
        <f aca="false">IF(B961="","",F961*IFERROR(INDEX(Despesas!$B$5:$B$8,MATCH(D961,Despesas!$A$5:$A$8,0)),0))</f>
        <v/>
      </c>
      <c r="I961" s="16" t="str">
        <f aca="false">IF(B961="","",F961-G961-H961)</f>
        <v/>
      </c>
    </row>
    <row r="962" customFormat="false" ht="15" hidden="false" customHeight="false" outlineLevel="0" collapsed="false">
      <c r="A962" s="34"/>
      <c r="B962" s="30"/>
      <c r="C962" s="30"/>
      <c r="D962" s="30"/>
      <c r="E962" s="16" t="str">
        <f aca="false">IF(B962="","",IFERROR(INDEX(Produtos!$C$5:$C$44,MATCH(B962,Produtos!$A$5:$A$44,0)),0))</f>
        <v/>
      </c>
      <c r="F962" s="16" t="str">
        <f aca="false">IF(B962="","",C962*E962)</f>
        <v/>
      </c>
      <c r="G962" s="16" t="str">
        <f aca="false">IF(B962="","",C962*IFERROR(INDEX(Produtos!$D$5:$D$44,MATCH(B962,Produtos!$A$5:$A$44,0)),0))</f>
        <v/>
      </c>
      <c r="H962" s="16" t="str">
        <f aca="false">IF(B962="","",F962*IFERROR(INDEX(Despesas!$B$5:$B$8,MATCH(D962,Despesas!$A$5:$A$8,0)),0))</f>
        <v/>
      </c>
      <c r="I962" s="16" t="str">
        <f aca="false">IF(B962="","",F962-G962-H962)</f>
        <v/>
      </c>
    </row>
    <row r="963" customFormat="false" ht="15" hidden="false" customHeight="false" outlineLevel="0" collapsed="false">
      <c r="A963" s="34"/>
      <c r="B963" s="30"/>
      <c r="C963" s="30"/>
      <c r="D963" s="30"/>
      <c r="E963" s="16" t="str">
        <f aca="false">IF(B963="","",IFERROR(INDEX(Produtos!$C$5:$C$44,MATCH(B963,Produtos!$A$5:$A$44,0)),0))</f>
        <v/>
      </c>
      <c r="F963" s="16" t="str">
        <f aca="false">IF(B963="","",C963*E963)</f>
        <v/>
      </c>
      <c r="G963" s="16" t="str">
        <f aca="false">IF(B963="","",C963*IFERROR(INDEX(Produtos!$D$5:$D$44,MATCH(B963,Produtos!$A$5:$A$44,0)),0))</f>
        <v/>
      </c>
      <c r="H963" s="16" t="str">
        <f aca="false">IF(B963="","",F963*IFERROR(INDEX(Despesas!$B$5:$B$8,MATCH(D963,Despesas!$A$5:$A$8,0)),0))</f>
        <v/>
      </c>
      <c r="I963" s="16" t="str">
        <f aca="false">IF(B963="","",F963-G963-H963)</f>
        <v/>
      </c>
    </row>
    <row r="964" customFormat="false" ht="15" hidden="false" customHeight="false" outlineLevel="0" collapsed="false">
      <c r="A964" s="34"/>
      <c r="B964" s="30"/>
      <c r="C964" s="30"/>
      <c r="D964" s="30"/>
      <c r="E964" s="16" t="str">
        <f aca="false">IF(B964="","",IFERROR(INDEX(Produtos!$C$5:$C$44,MATCH(B964,Produtos!$A$5:$A$44,0)),0))</f>
        <v/>
      </c>
      <c r="F964" s="16" t="str">
        <f aca="false">IF(B964="","",C964*E964)</f>
        <v/>
      </c>
      <c r="G964" s="16" t="str">
        <f aca="false">IF(B964="","",C964*IFERROR(INDEX(Produtos!$D$5:$D$44,MATCH(B964,Produtos!$A$5:$A$44,0)),0))</f>
        <v/>
      </c>
      <c r="H964" s="16" t="str">
        <f aca="false">IF(B964="","",F964*IFERROR(INDEX(Despesas!$B$5:$B$8,MATCH(D964,Despesas!$A$5:$A$8,0)),0))</f>
        <v/>
      </c>
      <c r="I964" s="16" t="str">
        <f aca="false">IF(B964="","",F964-G964-H964)</f>
        <v/>
      </c>
    </row>
    <row r="965" customFormat="false" ht="15" hidden="false" customHeight="false" outlineLevel="0" collapsed="false">
      <c r="A965" s="34"/>
      <c r="B965" s="30"/>
      <c r="C965" s="30"/>
      <c r="D965" s="30"/>
      <c r="E965" s="16" t="str">
        <f aca="false">IF(B965="","",IFERROR(INDEX(Produtos!$C$5:$C$44,MATCH(B965,Produtos!$A$5:$A$44,0)),0))</f>
        <v/>
      </c>
      <c r="F965" s="16" t="str">
        <f aca="false">IF(B965="","",C965*E965)</f>
        <v/>
      </c>
      <c r="G965" s="16" t="str">
        <f aca="false">IF(B965="","",C965*IFERROR(INDEX(Produtos!$D$5:$D$44,MATCH(B965,Produtos!$A$5:$A$44,0)),0))</f>
        <v/>
      </c>
      <c r="H965" s="16" t="str">
        <f aca="false">IF(B965="","",F965*IFERROR(INDEX(Despesas!$B$5:$B$8,MATCH(D965,Despesas!$A$5:$A$8,0)),0))</f>
        <v/>
      </c>
      <c r="I965" s="16" t="str">
        <f aca="false">IF(B965="","",F965-G965-H965)</f>
        <v/>
      </c>
    </row>
    <row r="966" customFormat="false" ht="15" hidden="false" customHeight="false" outlineLevel="0" collapsed="false">
      <c r="A966" s="34"/>
      <c r="B966" s="30"/>
      <c r="C966" s="30"/>
      <c r="D966" s="30"/>
      <c r="E966" s="16" t="str">
        <f aca="false">IF(B966="","",IFERROR(INDEX(Produtos!$C$5:$C$44,MATCH(B966,Produtos!$A$5:$A$44,0)),0))</f>
        <v/>
      </c>
      <c r="F966" s="16" t="str">
        <f aca="false">IF(B966="","",C966*E966)</f>
        <v/>
      </c>
      <c r="G966" s="16" t="str">
        <f aca="false">IF(B966="","",C966*IFERROR(INDEX(Produtos!$D$5:$D$44,MATCH(B966,Produtos!$A$5:$A$44,0)),0))</f>
        <v/>
      </c>
      <c r="H966" s="16" t="str">
        <f aca="false">IF(B966="","",F966*IFERROR(INDEX(Despesas!$B$5:$B$8,MATCH(D966,Despesas!$A$5:$A$8,0)),0))</f>
        <v/>
      </c>
      <c r="I966" s="16" t="str">
        <f aca="false">IF(B966="","",F966-G966-H966)</f>
        <v/>
      </c>
    </row>
    <row r="967" customFormat="false" ht="15" hidden="false" customHeight="false" outlineLevel="0" collapsed="false">
      <c r="A967" s="34"/>
      <c r="B967" s="30"/>
      <c r="C967" s="30"/>
      <c r="D967" s="30"/>
      <c r="E967" s="16" t="str">
        <f aca="false">IF(B967="","",IFERROR(INDEX(Produtos!$C$5:$C$44,MATCH(B967,Produtos!$A$5:$A$44,0)),0))</f>
        <v/>
      </c>
      <c r="F967" s="16" t="str">
        <f aca="false">IF(B967="","",C967*E967)</f>
        <v/>
      </c>
      <c r="G967" s="16" t="str">
        <f aca="false">IF(B967="","",C967*IFERROR(INDEX(Produtos!$D$5:$D$44,MATCH(B967,Produtos!$A$5:$A$44,0)),0))</f>
        <v/>
      </c>
      <c r="H967" s="16" t="str">
        <f aca="false">IF(B967="","",F967*IFERROR(INDEX(Despesas!$B$5:$B$8,MATCH(D967,Despesas!$A$5:$A$8,0)),0))</f>
        <v/>
      </c>
      <c r="I967" s="16" t="str">
        <f aca="false">IF(B967="","",F967-G967-H967)</f>
        <v/>
      </c>
    </row>
    <row r="968" customFormat="false" ht="15" hidden="false" customHeight="false" outlineLevel="0" collapsed="false">
      <c r="A968" s="34"/>
      <c r="B968" s="30"/>
      <c r="C968" s="30"/>
      <c r="D968" s="30"/>
      <c r="E968" s="16" t="str">
        <f aca="false">IF(B968="","",IFERROR(INDEX(Produtos!$C$5:$C$44,MATCH(B968,Produtos!$A$5:$A$44,0)),0))</f>
        <v/>
      </c>
      <c r="F968" s="16" t="str">
        <f aca="false">IF(B968="","",C968*E968)</f>
        <v/>
      </c>
      <c r="G968" s="16" t="str">
        <f aca="false">IF(B968="","",C968*IFERROR(INDEX(Produtos!$D$5:$D$44,MATCH(B968,Produtos!$A$5:$A$44,0)),0))</f>
        <v/>
      </c>
      <c r="H968" s="16" t="str">
        <f aca="false">IF(B968="","",F968*IFERROR(INDEX(Despesas!$B$5:$B$8,MATCH(D968,Despesas!$A$5:$A$8,0)),0))</f>
        <v/>
      </c>
      <c r="I968" s="16" t="str">
        <f aca="false">IF(B968="","",F968-G968-H968)</f>
        <v/>
      </c>
    </row>
    <row r="969" customFormat="false" ht="15" hidden="false" customHeight="false" outlineLevel="0" collapsed="false">
      <c r="A969" s="34"/>
      <c r="B969" s="30"/>
      <c r="C969" s="30"/>
      <c r="D969" s="30"/>
      <c r="E969" s="16" t="str">
        <f aca="false">IF(B969="","",IFERROR(INDEX(Produtos!$C$5:$C$44,MATCH(B969,Produtos!$A$5:$A$44,0)),0))</f>
        <v/>
      </c>
      <c r="F969" s="16" t="str">
        <f aca="false">IF(B969="","",C969*E969)</f>
        <v/>
      </c>
      <c r="G969" s="16" t="str">
        <f aca="false">IF(B969="","",C969*IFERROR(INDEX(Produtos!$D$5:$D$44,MATCH(B969,Produtos!$A$5:$A$44,0)),0))</f>
        <v/>
      </c>
      <c r="H969" s="16" t="str">
        <f aca="false">IF(B969="","",F969*IFERROR(INDEX(Despesas!$B$5:$B$8,MATCH(D969,Despesas!$A$5:$A$8,0)),0))</f>
        <v/>
      </c>
      <c r="I969" s="16" t="str">
        <f aca="false">IF(B969="","",F969-G969-H969)</f>
        <v/>
      </c>
    </row>
    <row r="970" customFormat="false" ht="15" hidden="false" customHeight="false" outlineLevel="0" collapsed="false">
      <c r="A970" s="34"/>
      <c r="B970" s="30"/>
      <c r="C970" s="30"/>
      <c r="D970" s="30"/>
      <c r="E970" s="16" t="str">
        <f aca="false">IF(B970="","",IFERROR(INDEX(Produtos!$C$5:$C$44,MATCH(B970,Produtos!$A$5:$A$44,0)),0))</f>
        <v/>
      </c>
      <c r="F970" s="16" t="str">
        <f aca="false">IF(B970="","",C970*E970)</f>
        <v/>
      </c>
      <c r="G970" s="16" t="str">
        <f aca="false">IF(B970="","",C970*IFERROR(INDEX(Produtos!$D$5:$D$44,MATCH(B970,Produtos!$A$5:$A$44,0)),0))</f>
        <v/>
      </c>
      <c r="H970" s="16" t="str">
        <f aca="false">IF(B970="","",F970*IFERROR(INDEX(Despesas!$B$5:$B$8,MATCH(D970,Despesas!$A$5:$A$8,0)),0))</f>
        <v/>
      </c>
      <c r="I970" s="16" t="str">
        <f aca="false">IF(B970="","",F970-G970-H970)</f>
        <v/>
      </c>
    </row>
    <row r="971" customFormat="false" ht="15" hidden="false" customHeight="false" outlineLevel="0" collapsed="false">
      <c r="A971" s="34"/>
      <c r="B971" s="30"/>
      <c r="C971" s="30"/>
      <c r="D971" s="30"/>
      <c r="E971" s="16" t="str">
        <f aca="false">IF(B971="","",IFERROR(INDEX(Produtos!$C$5:$C$44,MATCH(B971,Produtos!$A$5:$A$44,0)),0))</f>
        <v/>
      </c>
      <c r="F971" s="16" t="str">
        <f aca="false">IF(B971="","",C971*E971)</f>
        <v/>
      </c>
      <c r="G971" s="16" t="str">
        <f aca="false">IF(B971="","",C971*IFERROR(INDEX(Produtos!$D$5:$D$44,MATCH(B971,Produtos!$A$5:$A$44,0)),0))</f>
        <v/>
      </c>
      <c r="H971" s="16" t="str">
        <f aca="false">IF(B971="","",F971*IFERROR(INDEX(Despesas!$B$5:$B$8,MATCH(D971,Despesas!$A$5:$A$8,0)),0))</f>
        <v/>
      </c>
      <c r="I971" s="16" t="str">
        <f aca="false">IF(B971="","",F971-G971-H971)</f>
        <v/>
      </c>
    </row>
    <row r="972" customFormat="false" ht="15" hidden="false" customHeight="false" outlineLevel="0" collapsed="false">
      <c r="A972" s="34"/>
      <c r="B972" s="30"/>
      <c r="C972" s="30"/>
      <c r="D972" s="30"/>
      <c r="E972" s="16" t="str">
        <f aca="false">IF(B972="","",IFERROR(INDEX(Produtos!$C$5:$C$44,MATCH(B972,Produtos!$A$5:$A$44,0)),0))</f>
        <v/>
      </c>
      <c r="F972" s="16" t="str">
        <f aca="false">IF(B972="","",C972*E972)</f>
        <v/>
      </c>
      <c r="G972" s="16" t="str">
        <f aca="false">IF(B972="","",C972*IFERROR(INDEX(Produtos!$D$5:$D$44,MATCH(B972,Produtos!$A$5:$A$44,0)),0))</f>
        <v/>
      </c>
      <c r="H972" s="16" t="str">
        <f aca="false">IF(B972="","",F972*IFERROR(INDEX(Despesas!$B$5:$B$8,MATCH(D972,Despesas!$A$5:$A$8,0)),0))</f>
        <v/>
      </c>
      <c r="I972" s="16" t="str">
        <f aca="false">IF(B972="","",F972-G972-H972)</f>
        <v/>
      </c>
    </row>
    <row r="973" customFormat="false" ht="15" hidden="false" customHeight="false" outlineLevel="0" collapsed="false">
      <c r="A973" s="34"/>
      <c r="B973" s="30"/>
      <c r="C973" s="30"/>
      <c r="D973" s="30"/>
      <c r="E973" s="16" t="str">
        <f aca="false">IF(B973="","",IFERROR(INDEX(Produtos!$C$5:$C$44,MATCH(B973,Produtos!$A$5:$A$44,0)),0))</f>
        <v/>
      </c>
      <c r="F973" s="16" t="str">
        <f aca="false">IF(B973="","",C973*E973)</f>
        <v/>
      </c>
      <c r="G973" s="16" t="str">
        <f aca="false">IF(B973="","",C973*IFERROR(INDEX(Produtos!$D$5:$D$44,MATCH(B973,Produtos!$A$5:$A$44,0)),0))</f>
        <v/>
      </c>
      <c r="H973" s="16" t="str">
        <f aca="false">IF(B973="","",F973*IFERROR(INDEX(Despesas!$B$5:$B$8,MATCH(D973,Despesas!$A$5:$A$8,0)),0))</f>
        <v/>
      </c>
      <c r="I973" s="16" t="str">
        <f aca="false">IF(B973="","",F973-G973-H973)</f>
        <v/>
      </c>
    </row>
    <row r="974" customFormat="false" ht="15" hidden="false" customHeight="false" outlineLevel="0" collapsed="false">
      <c r="A974" s="34"/>
      <c r="B974" s="30"/>
      <c r="C974" s="30"/>
      <c r="D974" s="30"/>
      <c r="E974" s="16" t="str">
        <f aca="false">IF(B974="","",IFERROR(INDEX(Produtos!$C$5:$C$44,MATCH(B974,Produtos!$A$5:$A$44,0)),0))</f>
        <v/>
      </c>
      <c r="F974" s="16" t="str">
        <f aca="false">IF(B974="","",C974*E974)</f>
        <v/>
      </c>
      <c r="G974" s="16" t="str">
        <f aca="false">IF(B974="","",C974*IFERROR(INDEX(Produtos!$D$5:$D$44,MATCH(B974,Produtos!$A$5:$A$44,0)),0))</f>
        <v/>
      </c>
      <c r="H974" s="16" t="str">
        <f aca="false">IF(B974="","",F974*IFERROR(INDEX(Despesas!$B$5:$B$8,MATCH(D974,Despesas!$A$5:$A$8,0)),0))</f>
        <v/>
      </c>
      <c r="I974" s="16" t="str">
        <f aca="false">IF(B974="","",F974-G974-H974)</f>
        <v/>
      </c>
    </row>
    <row r="975" customFormat="false" ht="15" hidden="false" customHeight="false" outlineLevel="0" collapsed="false">
      <c r="A975" s="34"/>
      <c r="B975" s="30"/>
      <c r="C975" s="30"/>
      <c r="D975" s="30"/>
      <c r="E975" s="16" t="str">
        <f aca="false">IF(B975="","",IFERROR(INDEX(Produtos!$C$5:$C$44,MATCH(B975,Produtos!$A$5:$A$44,0)),0))</f>
        <v/>
      </c>
      <c r="F975" s="16" t="str">
        <f aca="false">IF(B975="","",C975*E975)</f>
        <v/>
      </c>
      <c r="G975" s="16" t="str">
        <f aca="false">IF(B975="","",C975*IFERROR(INDEX(Produtos!$D$5:$D$44,MATCH(B975,Produtos!$A$5:$A$44,0)),0))</f>
        <v/>
      </c>
      <c r="H975" s="16" t="str">
        <f aca="false">IF(B975="","",F975*IFERROR(INDEX(Despesas!$B$5:$B$8,MATCH(D975,Despesas!$A$5:$A$8,0)),0))</f>
        <v/>
      </c>
      <c r="I975" s="16" t="str">
        <f aca="false">IF(B975="","",F975-G975-H975)</f>
        <v/>
      </c>
    </row>
    <row r="976" customFormat="false" ht="15" hidden="false" customHeight="false" outlineLevel="0" collapsed="false">
      <c r="A976" s="34"/>
      <c r="B976" s="30"/>
      <c r="C976" s="30"/>
      <c r="D976" s="30"/>
      <c r="E976" s="16" t="str">
        <f aca="false">IF(B976="","",IFERROR(INDEX(Produtos!$C$5:$C$44,MATCH(B976,Produtos!$A$5:$A$44,0)),0))</f>
        <v/>
      </c>
      <c r="F976" s="16" t="str">
        <f aca="false">IF(B976="","",C976*E976)</f>
        <v/>
      </c>
      <c r="G976" s="16" t="str">
        <f aca="false">IF(B976="","",C976*IFERROR(INDEX(Produtos!$D$5:$D$44,MATCH(B976,Produtos!$A$5:$A$44,0)),0))</f>
        <v/>
      </c>
      <c r="H976" s="16" t="str">
        <f aca="false">IF(B976="","",F976*IFERROR(INDEX(Despesas!$B$5:$B$8,MATCH(D976,Despesas!$A$5:$A$8,0)),0))</f>
        <v/>
      </c>
      <c r="I976" s="16" t="str">
        <f aca="false">IF(B976="","",F976-G976-H976)</f>
        <v/>
      </c>
    </row>
    <row r="977" customFormat="false" ht="15" hidden="false" customHeight="false" outlineLevel="0" collapsed="false">
      <c r="A977" s="34"/>
      <c r="B977" s="30"/>
      <c r="C977" s="30"/>
      <c r="D977" s="30"/>
      <c r="E977" s="16" t="str">
        <f aca="false">IF(B977="","",IFERROR(INDEX(Produtos!$C$5:$C$44,MATCH(B977,Produtos!$A$5:$A$44,0)),0))</f>
        <v/>
      </c>
      <c r="F977" s="16" t="str">
        <f aca="false">IF(B977="","",C977*E977)</f>
        <v/>
      </c>
      <c r="G977" s="16" t="str">
        <f aca="false">IF(B977="","",C977*IFERROR(INDEX(Produtos!$D$5:$D$44,MATCH(B977,Produtos!$A$5:$A$44,0)),0))</f>
        <v/>
      </c>
      <c r="H977" s="16" t="str">
        <f aca="false">IF(B977="","",F977*IFERROR(INDEX(Despesas!$B$5:$B$8,MATCH(D977,Despesas!$A$5:$A$8,0)),0))</f>
        <v/>
      </c>
      <c r="I977" s="16" t="str">
        <f aca="false">IF(B977="","",F977-G977-H977)</f>
        <v/>
      </c>
    </row>
    <row r="978" customFormat="false" ht="15" hidden="false" customHeight="false" outlineLevel="0" collapsed="false">
      <c r="A978" s="34"/>
      <c r="B978" s="30"/>
      <c r="C978" s="30"/>
      <c r="D978" s="30"/>
      <c r="E978" s="16" t="str">
        <f aca="false">IF(B978="","",IFERROR(INDEX(Produtos!$C$5:$C$44,MATCH(B978,Produtos!$A$5:$A$44,0)),0))</f>
        <v/>
      </c>
      <c r="F978" s="16" t="str">
        <f aca="false">IF(B978="","",C978*E978)</f>
        <v/>
      </c>
      <c r="G978" s="16" t="str">
        <f aca="false">IF(B978="","",C978*IFERROR(INDEX(Produtos!$D$5:$D$44,MATCH(B978,Produtos!$A$5:$A$44,0)),0))</f>
        <v/>
      </c>
      <c r="H978" s="16" t="str">
        <f aca="false">IF(B978="","",F978*IFERROR(INDEX(Despesas!$B$5:$B$8,MATCH(D978,Despesas!$A$5:$A$8,0)),0))</f>
        <v/>
      </c>
      <c r="I978" s="16" t="str">
        <f aca="false">IF(B978="","",F978-G978-H978)</f>
        <v/>
      </c>
    </row>
    <row r="979" customFormat="false" ht="15" hidden="false" customHeight="false" outlineLevel="0" collapsed="false">
      <c r="A979" s="34"/>
      <c r="B979" s="30"/>
      <c r="C979" s="30"/>
      <c r="D979" s="30"/>
      <c r="E979" s="16" t="str">
        <f aca="false">IF(B979="","",IFERROR(INDEX(Produtos!$C$5:$C$44,MATCH(B979,Produtos!$A$5:$A$44,0)),0))</f>
        <v/>
      </c>
      <c r="F979" s="16" t="str">
        <f aca="false">IF(B979="","",C979*E979)</f>
        <v/>
      </c>
      <c r="G979" s="16" t="str">
        <f aca="false">IF(B979="","",C979*IFERROR(INDEX(Produtos!$D$5:$D$44,MATCH(B979,Produtos!$A$5:$A$44,0)),0))</f>
        <v/>
      </c>
      <c r="H979" s="16" t="str">
        <f aca="false">IF(B979="","",F979*IFERROR(INDEX(Despesas!$B$5:$B$8,MATCH(D979,Despesas!$A$5:$A$8,0)),0))</f>
        <v/>
      </c>
      <c r="I979" s="16" t="str">
        <f aca="false">IF(B979="","",F979-G979-H979)</f>
        <v/>
      </c>
    </row>
    <row r="980" customFormat="false" ht="15" hidden="false" customHeight="false" outlineLevel="0" collapsed="false">
      <c r="A980" s="34"/>
      <c r="B980" s="30"/>
      <c r="C980" s="30"/>
      <c r="D980" s="30"/>
      <c r="E980" s="16" t="str">
        <f aca="false">IF(B980="","",IFERROR(INDEX(Produtos!$C$5:$C$44,MATCH(B980,Produtos!$A$5:$A$44,0)),0))</f>
        <v/>
      </c>
      <c r="F980" s="16" t="str">
        <f aca="false">IF(B980="","",C980*E980)</f>
        <v/>
      </c>
      <c r="G980" s="16" t="str">
        <f aca="false">IF(B980="","",C980*IFERROR(INDEX(Produtos!$D$5:$D$44,MATCH(B980,Produtos!$A$5:$A$44,0)),0))</f>
        <v/>
      </c>
      <c r="H980" s="16" t="str">
        <f aca="false">IF(B980="","",F980*IFERROR(INDEX(Despesas!$B$5:$B$8,MATCH(D980,Despesas!$A$5:$A$8,0)),0))</f>
        <v/>
      </c>
      <c r="I980" s="16" t="str">
        <f aca="false">IF(B980="","",F980-G980-H980)</f>
        <v/>
      </c>
    </row>
    <row r="981" customFormat="false" ht="15" hidden="false" customHeight="false" outlineLevel="0" collapsed="false">
      <c r="A981" s="34"/>
      <c r="B981" s="30"/>
      <c r="C981" s="30"/>
      <c r="D981" s="30"/>
      <c r="E981" s="16" t="str">
        <f aca="false">IF(B981="","",IFERROR(INDEX(Produtos!$C$5:$C$44,MATCH(B981,Produtos!$A$5:$A$44,0)),0))</f>
        <v/>
      </c>
      <c r="F981" s="16" t="str">
        <f aca="false">IF(B981="","",C981*E981)</f>
        <v/>
      </c>
      <c r="G981" s="16" t="str">
        <f aca="false">IF(B981="","",C981*IFERROR(INDEX(Produtos!$D$5:$D$44,MATCH(B981,Produtos!$A$5:$A$44,0)),0))</f>
        <v/>
      </c>
      <c r="H981" s="16" t="str">
        <f aca="false">IF(B981="","",F981*IFERROR(INDEX(Despesas!$B$5:$B$8,MATCH(D981,Despesas!$A$5:$A$8,0)),0))</f>
        <v/>
      </c>
      <c r="I981" s="16" t="str">
        <f aca="false">IF(B981="","",F981-G981-H981)</f>
        <v/>
      </c>
    </row>
    <row r="982" customFormat="false" ht="15" hidden="false" customHeight="false" outlineLevel="0" collapsed="false">
      <c r="A982" s="34"/>
      <c r="B982" s="30"/>
      <c r="C982" s="30"/>
      <c r="D982" s="30"/>
      <c r="E982" s="16" t="str">
        <f aca="false">IF(B982="","",IFERROR(INDEX(Produtos!$C$5:$C$44,MATCH(B982,Produtos!$A$5:$A$44,0)),0))</f>
        <v/>
      </c>
      <c r="F982" s="16" t="str">
        <f aca="false">IF(B982="","",C982*E982)</f>
        <v/>
      </c>
      <c r="G982" s="16" t="str">
        <f aca="false">IF(B982="","",C982*IFERROR(INDEX(Produtos!$D$5:$D$44,MATCH(B982,Produtos!$A$5:$A$44,0)),0))</f>
        <v/>
      </c>
      <c r="H982" s="16" t="str">
        <f aca="false">IF(B982="","",F982*IFERROR(INDEX(Despesas!$B$5:$B$8,MATCH(D982,Despesas!$A$5:$A$8,0)),0))</f>
        <v/>
      </c>
      <c r="I982" s="16" t="str">
        <f aca="false">IF(B982="","",F982-G982-H982)</f>
        <v/>
      </c>
    </row>
    <row r="983" customFormat="false" ht="15" hidden="false" customHeight="false" outlineLevel="0" collapsed="false">
      <c r="A983" s="34"/>
      <c r="B983" s="30"/>
      <c r="C983" s="30"/>
      <c r="D983" s="30"/>
      <c r="E983" s="16" t="str">
        <f aca="false">IF(B983="","",IFERROR(INDEX(Produtos!$C$5:$C$44,MATCH(B983,Produtos!$A$5:$A$44,0)),0))</f>
        <v/>
      </c>
      <c r="F983" s="16" t="str">
        <f aca="false">IF(B983="","",C983*E983)</f>
        <v/>
      </c>
      <c r="G983" s="16" t="str">
        <f aca="false">IF(B983="","",C983*IFERROR(INDEX(Produtos!$D$5:$D$44,MATCH(B983,Produtos!$A$5:$A$44,0)),0))</f>
        <v/>
      </c>
      <c r="H983" s="16" t="str">
        <f aca="false">IF(B983="","",F983*IFERROR(INDEX(Despesas!$B$5:$B$8,MATCH(D983,Despesas!$A$5:$A$8,0)),0))</f>
        <v/>
      </c>
      <c r="I983" s="16" t="str">
        <f aca="false">IF(B983="","",F983-G983-H983)</f>
        <v/>
      </c>
    </row>
    <row r="984" customFormat="false" ht="15" hidden="false" customHeight="false" outlineLevel="0" collapsed="false">
      <c r="A984" s="34"/>
      <c r="B984" s="30"/>
      <c r="C984" s="30"/>
      <c r="D984" s="30"/>
      <c r="E984" s="16" t="str">
        <f aca="false">IF(B984="","",IFERROR(INDEX(Produtos!$C$5:$C$44,MATCH(B984,Produtos!$A$5:$A$44,0)),0))</f>
        <v/>
      </c>
      <c r="F984" s="16" t="str">
        <f aca="false">IF(B984="","",C984*E984)</f>
        <v/>
      </c>
      <c r="G984" s="16" t="str">
        <f aca="false">IF(B984="","",C984*IFERROR(INDEX(Produtos!$D$5:$D$44,MATCH(B984,Produtos!$A$5:$A$44,0)),0))</f>
        <v/>
      </c>
      <c r="H984" s="16" t="str">
        <f aca="false">IF(B984="","",F984*IFERROR(INDEX(Despesas!$B$5:$B$8,MATCH(D984,Despesas!$A$5:$A$8,0)),0))</f>
        <v/>
      </c>
      <c r="I984" s="16" t="str">
        <f aca="false">IF(B984="","",F984-G984-H984)</f>
        <v/>
      </c>
    </row>
    <row r="985" customFormat="false" ht="15" hidden="false" customHeight="false" outlineLevel="0" collapsed="false">
      <c r="A985" s="34"/>
      <c r="B985" s="30"/>
      <c r="C985" s="30"/>
      <c r="D985" s="30"/>
      <c r="E985" s="16" t="str">
        <f aca="false">IF(B985="","",IFERROR(INDEX(Produtos!$C$5:$C$44,MATCH(B985,Produtos!$A$5:$A$44,0)),0))</f>
        <v/>
      </c>
      <c r="F985" s="16" t="str">
        <f aca="false">IF(B985="","",C985*E985)</f>
        <v/>
      </c>
      <c r="G985" s="16" t="str">
        <f aca="false">IF(B985="","",C985*IFERROR(INDEX(Produtos!$D$5:$D$44,MATCH(B985,Produtos!$A$5:$A$44,0)),0))</f>
        <v/>
      </c>
      <c r="H985" s="16" t="str">
        <f aca="false">IF(B985="","",F985*IFERROR(INDEX(Despesas!$B$5:$B$8,MATCH(D985,Despesas!$A$5:$A$8,0)),0))</f>
        <v/>
      </c>
      <c r="I985" s="16" t="str">
        <f aca="false">IF(B985="","",F985-G985-H985)</f>
        <v/>
      </c>
    </row>
    <row r="986" customFormat="false" ht="15" hidden="false" customHeight="false" outlineLevel="0" collapsed="false">
      <c r="A986" s="34"/>
      <c r="B986" s="30"/>
      <c r="C986" s="30"/>
      <c r="D986" s="30"/>
      <c r="E986" s="16" t="str">
        <f aca="false">IF(B986="","",IFERROR(INDEX(Produtos!$C$5:$C$44,MATCH(B986,Produtos!$A$5:$A$44,0)),0))</f>
        <v/>
      </c>
      <c r="F986" s="16" t="str">
        <f aca="false">IF(B986="","",C986*E986)</f>
        <v/>
      </c>
      <c r="G986" s="16" t="str">
        <f aca="false">IF(B986="","",C986*IFERROR(INDEX(Produtos!$D$5:$D$44,MATCH(B986,Produtos!$A$5:$A$44,0)),0))</f>
        <v/>
      </c>
      <c r="H986" s="16" t="str">
        <f aca="false">IF(B986="","",F986*IFERROR(INDEX(Despesas!$B$5:$B$8,MATCH(D986,Despesas!$A$5:$A$8,0)),0))</f>
        <v/>
      </c>
      <c r="I986" s="16" t="str">
        <f aca="false">IF(B986="","",F986-G986-H986)</f>
        <v/>
      </c>
    </row>
    <row r="987" customFormat="false" ht="15" hidden="false" customHeight="false" outlineLevel="0" collapsed="false">
      <c r="A987" s="34"/>
      <c r="B987" s="30"/>
      <c r="C987" s="30"/>
      <c r="D987" s="30"/>
      <c r="E987" s="16" t="str">
        <f aca="false">IF(B987="","",IFERROR(INDEX(Produtos!$C$5:$C$44,MATCH(B987,Produtos!$A$5:$A$44,0)),0))</f>
        <v/>
      </c>
      <c r="F987" s="16" t="str">
        <f aca="false">IF(B987="","",C987*E987)</f>
        <v/>
      </c>
      <c r="G987" s="16" t="str">
        <f aca="false">IF(B987="","",C987*IFERROR(INDEX(Produtos!$D$5:$D$44,MATCH(B987,Produtos!$A$5:$A$44,0)),0))</f>
        <v/>
      </c>
      <c r="H987" s="16" t="str">
        <f aca="false">IF(B987="","",F987*IFERROR(INDEX(Despesas!$B$5:$B$8,MATCH(D987,Despesas!$A$5:$A$8,0)),0))</f>
        <v/>
      </c>
      <c r="I987" s="16" t="str">
        <f aca="false">IF(B987="","",F987-G987-H987)</f>
        <v/>
      </c>
    </row>
    <row r="988" customFormat="false" ht="15" hidden="false" customHeight="false" outlineLevel="0" collapsed="false">
      <c r="A988" s="34"/>
      <c r="B988" s="30"/>
      <c r="C988" s="30"/>
      <c r="D988" s="30"/>
      <c r="E988" s="16" t="str">
        <f aca="false">IF(B988="","",IFERROR(INDEX(Produtos!$C$5:$C$44,MATCH(B988,Produtos!$A$5:$A$44,0)),0))</f>
        <v/>
      </c>
      <c r="F988" s="16" t="str">
        <f aca="false">IF(B988="","",C988*E988)</f>
        <v/>
      </c>
      <c r="G988" s="16" t="str">
        <f aca="false">IF(B988="","",C988*IFERROR(INDEX(Produtos!$D$5:$D$44,MATCH(B988,Produtos!$A$5:$A$44,0)),0))</f>
        <v/>
      </c>
      <c r="H988" s="16" t="str">
        <f aca="false">IF(B988="","",F988*IFERROR(INDEX(Despesas!$B$5:$B$8,MATCH(D988,Despesas!$A$5:$A$8,0)),0))</f>
        <v/>
      </c>
      <c r="I988" s="16" t="str">
        <f aca="false">IF(B988="","",F988-G988-H988)</f>
        <v/>
      </c>
    </row>
    <row r="989" customFormat="false" ht="15" hidden="false" customHeight="false" outlineLevel="0" collapsed="false">
      <c r="A989" s="34"/>
      <c r="B989" s="30"/>
      <c r="C989" s="30"/>
      <c r="D989" s="30"/>
      <c r="E989" s="16" t="str">
        <f aca="false">IF(B989="","",IFERROR(INDEX(Produtos!$C$5:$C$44,MATCH(B989,Produtos!$A$5:$A$44,0)),0))</f>
        <v/>
      </c>
      <c r="F989" s="16" t="str">
        <f aca="false">IF(B989="","",C989*E989)</f>
        <v/>
      </c>
      <c r="G989" s="16" t="str">
        <f aca="false">IF(B989="","",C989*IFERROR(INDEX(Produtos!$D$5:$D$44,MATCH(B989,Produtos!$A$5:$A$44,0)),0))</f>
        <v/>
      </c>
      <c r="H989" s="16" t="str">
        <f aca="false">IF(B989="","",F989*IFERROR(INDEX(Despesas!$B$5:$B$8,MATCH(D989,Despesas!$A$5:$A$8,0)),0))</f>
        <v/>
      </c>
      <c r="I989" s="16" t="str">
        <f aca="false">IF(B989="","",F989-G989-H989)</f>
        <v/>
      </c>
    </row>
    <row r="990" customFormat="false" ht="15" hidden="false" customHeight="false" outlineLevel="0" collapsed="false">
      <c r="A990" s="34"/>
      <c r="B990" s="30"/>
      <c r="C990" s="30"/>
      <c r="D990" s="30"/>
      <c r="E990" s="16" t="str">
        <f aca="false">IF(B990="","",IFERROR(INDEX(Produtos!$C$5:$C$44,MATCH(B990,Produtos!$A$5:$A$44,0)),0))</f>
        <v/>
      </c>
      <c r="F990" s="16" t="str">
        <f aca="false">IF(B990="","",C990*E990)</f>
        <v/>
      </c>
      <c r="G990" s="16" t="str">
        <f aca="false">IF(B990="","",C990*IFERROR(INDEX(Produtos!$D$5:$D$44,MATCH(B990,Produtos!$A$5:$A$44,0)),0))</f>
        <v/>
      </c>
      <c r="H990" s="16" t="str">
        <f aca="false">IF(B990="","",F990*IFERROR(INDEX(Despesas!$B$5:$B$8,MATCH(D990,Despesas!$A$5:$A$8,0)),0))</f>
        <v/>
      </c>
      <c r="I990" s="16" t="str">
        <f aca="false">IF(B990="","",F990-G990-H990)</f>
        <v/>
      </c>
    </row>
    <row r="991" customFormat="false" ht="15" hidden="false" customHeight="false" outlineLevel="0" collapsed="false">
      <c r="A991" s="34"/>
      <c r="B991" s="30"/>
      <c r="C991" s="30"/>
      <c r="D991" s="30"/>
      <c r="E991" s="16" t="str">
        <f aca="false">IF(B991="","",IFERROR(INDEX(Produtos!$C$5:$C$44,MATCH(B991,Produtos!$A$5:$A$44,0)),0))</f>
        <v/>
      </c>
      <c r="F991" s="16" t="str">
        <f aca="false">IF(B991="","",C991*E991)</f>
        <v/>
      </c>
      <c r="G991" s="16" t="str">
        <f aca="false">IF(B991="","",C991*IFERROR(INDEX(Produtos!$D$5:$D$44,MATCH(B991,Produtos!$A$5:$A$44,0)),0))</f>
        <v/>
      </c>
      <c r="H991" s="16" t="str">
        <f aca="false">IF(B991="","",F991*IFERROR(INDEX(Despesas!$B$5:$B$8,MATCH(D991,Despesas!$A$5:$A$8,0)),0))</f>
        <v/>
      </c>
      <c r="I991" s="16" t="str">
        <f aca="false">IF(B991="","",F991-G991-H991)</f>
        <v/>
      </c>
    </row>
    <row r="992" customFormat="false" ht="15" hidden="false" customHeight="false" outlineLevel="0" collapsed="false">
      <c r="A992" s="34"/>
      <c r="B992" s="30"/>
      <c r="C992" s="30"/>
      <c r="D992" s="30"/>
      <c r="E992" s="16" t="str">
        <f aca="false">IF(B992="","",IFERROR(INDEX(Produtos!$C$5:$C$44,MATCH(B992,Produtos!$A$5:$A$44,0)),0))</f>
        <v/>
      </c>
      <c r="F992" s="16" t="str">
        <f aca="false">IF(B992="","",C992*E992)</f>
        <v/>
      </c>
      <c r="G992" s="16" t="str">
        <f aca="false">IF(B992="","",C992*IFERROR(INDEX(Produtos!$D$5:$D$44,MATCH(B992,Produtos!$A$5:$A$44,0)),0))</f>
        <v/>
      </c>
      <c r="H992" s="16" t="str">
        <f aca="false">IF(B992="","",F992*IFERROR(INDEX(Despesas!$B$5:$B$8,MATCH(D992,Despesas!$A$5:$A$8,0)),0))</f>
        <v/>
      </c>
      <c r="I992" s="16" t="str">
        <f aca="false">IF(B992="","",F992-G992-H992)</f>
        <v/>
      </c>
    </row>
    <row r="993" customFormat="false" ht="15" hidden="false" customHeight="false" outlineLevel="0" collapsed="false">
      <c r="A993" s="34"/>
      <c r="B993" s="30"/>
      <c r="C993" s="30"/>
      <c r="D993" s="30"/>
      <c r="E993" s="16" t="str">
        <f aca="false">IF(B993="","",IFERROR(INDEX(Produtos!$C$5:$C$44,MATCH(B993,Produtos!$A$5:$A$44,0)),0))</f>
        <v/>
      </c>
      <c r="F993" s="16" t="str">
        <f aca="false">IF(B993="","",C993*E993)</f>
        <v/>
      </c>
      <c r="G993" s="16" t="str">
        <f aca="false">IF(B993="","",C993*IFERROR(INDEX(Produtos!$D$5:$D$44,MATCH(B993,Produtos!$A$5:$A$44,0)),0))</f>
        <v/>
      </c>
      <c r="H993" s="16" t="str">
        <f aca="false">IF(B993="","",F993*IFERROR(INDEX(Despesas!$B$5:$B$8,MATCH(D993,Despesas!$A$5:$A$8,0)),0))</f>
        <v/>
      </c>
      <c r="I993" s="16" t="str">
        <f aca="false">IF(B993="","",F993-G993-H993)</f>
        <v/>
      </c>
    </row>
    <row r="994" customFormat="false" ht="15" hidden="false" customHeight="false" outlineLevel="0" collapsed="false">
      <c r="A994" s="34"/>
      <c r="B994" s="30"/>
      <c r="C994" s="30"/>
      <c r="D994" s="30"/>
      <c r="E994" s="16" t="str">
        <f aca="false">IF(B994="","",IFERROR(INDEX(Produtos!$C$5:$C$44,MATCH(B994,Produtos!$A$5:$A$44,0)),0))</f>
        <v/>
      </c>
      <c r="F994" s="16" t="str">
        <f aca="false">IF(B994="","",C994*E994)</f>
        <v/>
      </c>
      <c r="G994" s="16" t="str">
        <f aca="false">IF(B994="","",C994*IFERROR(INDEX(Produtos!$D$5:$D$44,MATCH(B994,Produtos!$A$5:$A$44,0)),0))</f>
        <v/>
      </c>
      <c r="H994" s="16" t="str">
        <f aca="false">IF(B994="","",F994*IFERROR(INDEX(Despesas!$B$5:$B$8,MATCH(D994,Despesas!$A$5:$A$8,0)),0))</f>
        <v/>
      </c>
      <c r="I994" s="16" t="str">
        <f aca="false">IF(B994="","",F994-G994-H994)</f>
        <v/>
      </c>
    </row>
    <row r="995" customFormat="false" ht="15" hidden="false" customHeight="false" outlineLevel="0" collapsed="false">
      <c r="A995" s="34"/>
      <c r="B995" s="30"/>
      <c r="C995" s="30"/>
      <c r="D995" s="30"/>
      <c r="E995" s="16" t="str">
        <f aca="false">IF(B995="","",IFERROR(INDEX(Produtos!$C$5:$C$44,MATCH(B995,Produtos!$A$5:$A$44,0)),0))</f>
        <v/>
      </c>
      <c r="F995" s="16" t="str">
        <f aca="false">IF(B995="","",C995*E995)</f>
        <v/>
      </c>
      <c r="G995" s="16" t="str">
        <f aca="false">IF(B995="","",C995*IFERROR(INDEX(Produtos!$D$5:$D$44,MATCH(B995,Produtos!$A$5:$A$44,0)),0))</f>
        <v/>
      </c>
      <c r="H995" s="16" t="str">
        <f aca="false">IF(B995="","",F995*IFERROR(INDEX(Despesas!$B$5:$B$8,MATCH(D995,Despesas!$A$5:$A$8,0)),0))</f>
        <v/>
      </c>
      <c r="I995" s="16" t="str">
        <f aca="false">IF(B995="","",F995-G995-H995)</f>
        <v/>
      </c>
    </row>
    <row r="996" customFormat="false" ht="15" hidden="false" customHeight="false" outlineLevel="0" collapsed="false">
      <c r="A996" s="34"/>
      <c r="B996" s="30"/>
      <c r="C996" s="30"/>
      <c r="D996" s="30"/>
      <c r="E996" s="16" t="str">
        <f aca="false">IF(B996="","",IFERROR(INDEX(Produtos!$C$5:$C$44,MATCH(B996,Produtos!$A$5:$A$44,0)),0))</f>
        <v/>
      </c>
      <c r="F996" s="16" t="str">
        <f aca="false">IF(B996="","",C996*E996)</f>
        <v/>
      </c>
      <c r="G996" s="16" t="str">
        <f aca="false">IF(B996="","",C996*IFERROR(INDEX(Produtos!$D$5:$D$44,MATCH(B996,Produtos!$A$5:$A$44,0)),0))</f>
        <v/>
      </c>
      <c r="H996" s="16" t="str">
        <f aca="false">IF(B996="","",F996*IFERROR(INDEX(Despesas!$B$5:$B$8,MATCH(D996,Despesas!$A$5:$A$8,0)),0))</f>
        <v/>
      </c>
      <c r="I996" s="16" t="str">
        <f aca="false">IF(B996="","",F996-G996-H996)</f>
        <v/>
      </c>
    </row>
    <row r="997" customFormat="false" ht="15" hidden="false" customHeight="false" outlineLevel="0" collapsed="false">
      <c r="A997" s="34"/>
      <c r="B997" s="30"/>
      <c r="C997" s="30"/>
      <c r="D997" s="30"/>
      <c r="E997" s="16" t="str">
        <f aca="false">IF(B997="","",IFERROR(INDEX(Produtos!$C$5:$C$44,MATCH(B997,Produtos!$A$5:$A$44,0)),0))</f>
        <v/>
      </c>
      <c r="F997" s="16" t="str">
        <f aca="false">IF(B997="","",C997*E997)</f>
        <v/>
      </c>
      <c r="G997" s="16" t="str">
        <f aca="false">IF(B997="","",C997*IFERROR(INDEX(Produtos!$D$5:$D$44,MATCH(B997,Produtos!$A$5:$A$44,0)),0))</f>
        <v/>
      </c>
      <c r="H997" s="16" t="str">
        <f aca="false">IF(B997="","",F997*IFERROR(INDEX(Despesas!$B$5:$B$8,MATCH(D997,Despesas!$A$5:$A$8,0)),0))</f>
        <v/>
      </c>
      <c r="I997" s="16" t="str">
        <f aca="false">IF(B997="","",F997-G997-H997)</f>
        <v/>
      </c>
    </row>
    <row r="998" customFormat="false" ht="15" hidden="false" customHeight="false" outlineLevel="0" collapsed="false">
      <c r="A998" s="34"/>
      <c r="B998" s="30"/>
      <c r="C998" s="30"/>
      <c r="D998" s="30"/>
      <c r="E998" s="16" t="str">
        <f aca="false">IF(B998="","",IFERROR(INDEX(Produtos!$C$5:$C$44,MATCH(B998,Produtos!$A$5:$A$44,0)),0))</f>
        <v/>
      </c>
      <c r="F998" s="16" t="str">
        <f aca="false">IF(B998="","",C998*E998)</f>
        <v/>
      </c>
      <c r="G998" s="16" t="str">
        <f aca="false">IF(B998="","",C998*IFERROR(INDEX(Produtos!$D$5:$D$44,MATCH(B998,Produtos!$A$5:$A$44,0)),0))</f>
        <v/>
      </c>
      <c r="H998" s="16" t="str">
        <f aca="false">IF(B998="","",F998*IFERROR(INDEX(Despesas!$B$5:$B$8,MATCH(D998,Despesas!$A$5:$A$8,0)),0))</f>
        <v/>
      </c>
      <c r="I998" s="16" t="str">
        <f aca="false">IF(B998="","",F998-G998-H998)</f>
        <v/>
      </c>
    </row>
    <row r="999" customFormat="false" ht="15" hidden="false" customHeight="false" outlineLevel="0" collapsed="false">
      <c r="A999" s="34"/>
      <c r="B999" s="30"/>
      <c r="C999" s="30"/>
      <c r="D999" s="30"/>
      <c r="E999" s="16" t="str">
        <f aca="false">IF(B999="","",IFERROR(INDEX(Produtos!$C$5:$C$44,MATCH(B999,Produtos!$A$5:$A$44,0)),0))</f>
        <v/>
      </c>
      <c r="F999" s="16" t="str">
        <f aca="false">IF(B999="","",C999*E999)</f>
        <v/>
      </c>
      <c r="G999" s="16" t="str">
        <f aca="false">IF(B999="","",C999*IFERROR(INDEX(Produtos!$D$5:$D$44,MATCH(B999,Produtos!$A$5:$A$44,0)),0))</f>
        <v/>
      </c>
      <c r="H999" s="16" t="str">
        <f aca="false">IF(B999="","",F999*IFERROR(INDEX(Despesas!$B$5:$B$8,MATCH(D999,Despesas!$A$5:$A$8,0)),0))</f>
        <v/>
      </c>
      <c r="I999" s="16" t="str">
        <f aca="false">IF(B999="","",F999-G999-H999)</f>
        <v/>
      </c>
    </row>
    <row r="1000" customFormat="false" ht="15" hidden="false" customHeight="false" outlineLevel="0" collapsed="false">
      <c r="A1000" s="34"/>
      <c r="B1000" s="30"/>
      <c r="C1000" s="30"/>
      <c r="D1000" s="30"/>
      <c r="E1000" s="16" t="str">
        <f aca="false">IF(B1000="","",IFERROR(INDEX(Produtos!$C$5:$C$44,MATCH(B1000,Produtos!$A$5:$A$44,0)),0))</f>
        <v/>
      </c>
      <c r="F1000" s="16" t="str">
        <f aca="false">IF(B1000="","",C1000*E1000)</f>
        <v/>
      </c>
      <c r="G1000" s="16" t="str">
        <f aca="false">IF(B1000="","",C1000*IFERROR(INDEX(Produtos!$D$5:$D$44,MATCH(B1000,Produtos!$A$5:$A$44,0)),0))</f>
        <v/>
      </c>
      <c r="H1000" s="16" t="str">
        <f aca="false">IF(B1000="","",F1000*IFERROR(INDEX(Despesas!$B$5:$B$8,MATCH(D1000,Despesas!$A$5:$A$8,0)),0))</f>
        <v/>
      </c>
      <c r="I1000" s="16" t="str">
        <f aca="false">IF(B1000="","",F1000-G1000-H1000)</f>
        <v/>
      </c>
    </row>
    <row r="1001" customFormat="false" ht="15" hidden="false" customHeight="false" outlineLevel="0" collapsed="false">
      <c r="A1001" s="34"/>
      <c r="B1001" s="30"/>
      <c r="C1001" s="30"/>
      <c r="D1001" s="30"/>
      <c r="E1001" s="16" t="str">
        <f aca="false">IF(B1001="","",IFERROR(INDEX(Produtos!$C$5:$C$44,MATCH(B1001,Produtos!$A$5:$A$44,0)),0))</f>
        <v/>
      </c>
      <c r="F1001" s="16" t="str">
        <f aca="false">IF(B1001="","",C1001*E1001)</f>
        <v/>
      </c>
      <c r="G1001" s="16" t="str">
        <f aca="false">IF(B1001="","",C1001*IFERROR(INDEX(Produtos!$D$5:$D$44,MATCH(B1001,Produtos!$A$5:$A$44,0)),0))</f>
        <v/>
      </c>
      <c r="H1001" s="16" t="str">
        <f aca="false">IF(B1001="","",F1001*IFERROR(INDEX(Despesas!$B$5:$B$8,MATCH(D1001,Despesas!$A$5:$A$8,0)),0))</f>
        <v/>
      </c>
      <c r="I1001" s="16" t="str">
        <f aca="false">IF(B1001="","",F1001-G1001-H1001)</f>
        <v/>
      </c>
    </row>
    <row r="1002" customFormat="false" ht="15" hidden="false" customHeight="false" outlineLevel="0" collapsed="false">
      <c r="A1002" s="34"/>
      <c r="B1002" s="30"/>
      <c r="C1002" s="30"/>
      <c r="D1002" s="30"/>
      <c r="E1002" s="16" t="str">
        <f aca="false">IF(B1002="","",IFERROR(INDEX(Produtos!$C$5:$C$44,MATCH(B1002,Produtos!$A$5:$A$44,0)),0))</f>
        <v/>
      </c>
      <c r="F1002" s="16" t="str">
        <f aca="false">IF(B1002="","",C1002*E1002)</f>
        <v/>
      </c>
      <c r="G1002" s="16" t="str">
        <f aca="false">IF(B1002="","",C1002*IFERROR(INDEX(Produtos!$D$5:$D$44,MATCH(B1002,Produtos!$A$5:$A$44,0)),0))</f>
        <v/>
      </c>
      <c r="H1002" s="16" t="str">
        <f aca="false">IF(B1002="","",F1002*IFERROR(INDEX(Despesas!$B$5:$B$8,MATCH(D1002,Despesas!$A$5:$A$8,0)),0))</f>
        <v/>
      </c>
      <c r="I1002" s="16" t="str">
        <f aca="false">IF(B1002="","",F1002-G1002-H1002)</f>
        <v/>
      </c>
    </row>
    <row r="1003" customFormat="false" ht="15" hidden="false" customHeight="false" outlineLevel="0" collapsed="false">
      <c r="A1003" s="34"/>
      <c r="B1003" s="30"/>
      <c r="C1003" s="30"/>
      <c r="D1003" s="30"/>
      <c r="E1003" s="16" t="str">
        <f aca="false">IF(B1003="","",IFERROR(INDEX(Produtos!$C$5:$C$44,MATCH(B1003,Produtos!$A$5:$A$44,0)),0))</f>
        <v/>
      </c>
      <c r="F1003" s="16" t="str">
        <f aca="false">IF(B1003="","",C1003*E1003)</f>
        <v/>
      </c>
      <c r="G1003" s="16" t="str">
        <f aca="false">IF(B1003="","",C1003*IFERROR(INDEX(Produtos!$D$5:$D$44,MATCH(B1003,Produtos!$A$5:$A$44,0)),0))</f>
        <v/>
      </c>
      <c r="H1003" s="16" t="str">
        <f aca="false">IF(B1003="","",F1003*IFERROR(INDEX(Despesas!$B$5:$B$8,MATCH(D1003,Despesas!$A$5:$A$8,0)),0))</f>
        <v/>
      </c>
      <c r="I1003" s="16" t="str">
        <f aca="false">IF(B1003="","",F1003-G1003-H1003)</f>
        <v/>
      </c>
    </row>
    <row r="1004" customFormat="false" ht="15" hidden="false" customHeight="false" outlineLevel="0" collapsed="false">
      <c r="A1004" s="34"/>
      <c r="B1004" s="30"/>
      <c r="C1004" s="30"/>
      <c r="D1004" s="30"/>
      <c r="E1004" s="16" t="str">
        <f aca="false">IF(B1004="","",IFERROR(INDEX(Produtos!$C$5:$C$44,MATCH(B1004,Produtos!$A$5:$A$44,0)),0))</f>
        <v/>
      </c>
      <c r="F1004" s="16" t="str">
        <f aca="false">IF(B1004="","",C1004*E1004)</f>
        <v/>
      </c>
      <c r="G1004" s="16" t="str">
        <f aca="false">IF(B1004="","",C1004*IFERROR(INDEX(Produtos!$D$5:$D$44,MATCH(B1004,Produtos!$A$5:$A$44,0)),0))</f>
        <v/>
      </c>
      <c r="H1004" s="16" t="str">
        <f aca="false">IF(B1004="","",F1004*IFERROR(INDEX(Despesas!$B$5:$B$8,MATCH(D1004,Despesas!$A$5:$A$8,0)),0))</f>
        <v/>
      </c>
      <c r="I1004" s="16" t="str">
        <f aca="false">IF(B1004="","",F1004-G1004-H1004)</f>
        <v/>
      </c>
    </row>
  </sheetData>
  <dataValidations count="2">
    <dataValidation allowBlank="true" error="Escolha um produto da aba Produtos." errorStyle="stop" operator="between" showDropDown="false" showErrorMessage="true" showInputMessage="false" sqref="B5:B1004" type="list">
      <formula1>Produtos!$A$5:$A$44</formula1>
      <formula2>0</formula2>
    </dataValidation>
    <dataValidation allowBlank="true" errorStyle="stop" operator="between" showDropDown="false" showErrorMessage="false" showInputMessage="false" sqref="D5:D1004" type="list">
      <formula1>"Pix,Dinheiro,Débito,Crédito"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2026-09-26T04:34:35Z</dcterms:created>
  <dc:creator>openpyxl</dc:creator>
  <dc:description/>
  <dc:language>en-US</dc:language>
  <cp:lastModifiedBy/>
  <dcterms:modified xsi:type="dcterms:W3CDTF">2026-09-26T04:34:37Z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